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D:\Windows\ServiceProfiles\NetworkService\AppData\Local\Packages\oice_16_974fa576_32c1d314_85d\AC\Temp\"/>
    </mc:Choice>
  </mc:AlternateContent>
  <xr:revisionPtr revIDLastSave="0" documentId="8_{6FC2F462-BC2F-D24D-BC99-6BDD548B2233}" xr6:coauthVersionLast="47" xr6:coauthVersionMax="47" xr10:uidLastSave="{00000000-0000-0000-0000-000000000000}"/>
  <bookViews>
    <workbookView xWindow="-60" yWindow="-60" windowWidth="15480" windowHeight="11640" xr2:uid="{12B216FA-F804-4EA0-93FA-CBC1B90DB52C}"/>
  </bookViews>
  <sheets>
    <sheet name="InstumentoEvaluación" sheetId="1" r:id="rId1"/>
    <sheet name="DescripciónEstilos" sheetId="10" r:id="rId2"/>
    <sheet name="CONSOLIDADO" sheetId="11"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1" l="1"/>
  <c r="K49" i="1"/>
  <c r="E43" i="1"/>
  <c r="L49" i="1"/>
  <c r="G43" i="1"/>
  <c r="M49" i="1"/>
  <c r="I43" i="1"/>
  <c r="N49" i="1"/>
  <c r="H45" i="1"/>
  <c r="H46" i="1"/>
  <c r="F60" i="1"/>
  <c r="F57" i="1"/>
  <c r="F54" i="1"/>
  <c r="F51" i="1"/>
  <c r="F61" i="1"/>
  <c r="F55" i="1"/>
  <c r="F58" i="1"/>
  <c r="F52" i="1"/>
  <c r="H51" i="1"/>
  <c r="H54" i="1"/>
  <c r="H57" i="1"/>
  <c r="H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51" authorId="0" shapeId="0" xr:uid="{A8AB3FAE-62B9-4E3B-BE09-FB7611BFDEB7}">
      <text>
        <r>
          <rPr>
            <b/>
            <sz val="12"/>
            <color indexed="81"/>
            <rFont val="Tahoma"/>
            <family val="2"/>
          </rPr>
          <t xml:space="preserve">Características del Aprendiz Asimilador
</t>
        </r>
        <r>
          <rPr>
            <sz val="12"/>
            <color indexed="81"/>
            <rFont val="Tahoma"/>
            <family val="2"/>
          </rPr>
          <t xml:space="preserve">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r>
      </text>
    </comment>
    <comment ref="H54" authorId="0" shapeId="0" xr:uid="{96B93CE4-F7F2-4FF6-BBAE-5CCF10061564}">
      <text>
        <r>
          <rPr>
            <b/>
            <sz val="12"/>
            <color indexed="81"/>
            <rFont val="Tahoma"/>
            <family val="2"/>
          </rPr>
          <t xml:space="preserve">Características del Aprendiz Convergente
</t>
        </r>
        <r>
          <rPr>
            <sz val="12"/>
            <color indexed="81"/>
            <rFont val="Tahoma"/>
            <family val="2"/>
          </rPr>
          <t xml:space="preserve">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r>
        <r>
          <rPr>
            <b/>
            <sz val="12"/>
            <color indexed="81"/>
            <rFont val="Tahoma"/>
            <family val="2"/>
          </rPr>
          <t xml:space="preserve">
</t>
        </r>
        <r>
          <rPr>
            <b/>
            <sz val="9"/>
            <color indexed="81"/>
            <rFont val="Tahoma"/>
            <family val="2"/>
          </rPr>
          <t xml:space="preserve">
</t>
        </r>
      </text>
    </comment>
    <comment ref="H57" authorId="0" shapeId="0" xr:uid="{DF678707-A6F4-4BC4-91B1-C51E4C16DB7B}">
      <text>
        <r>
          <rPr>
            <b/>
            <sz val="12"/>
            <color indexed="81"/>
            <rFont val="Tahoma"/>
            <family val="2"/>
          </rPr>
          <t xml:space="preserve">Características del Aprendiz Divergente
</t>
        </r>
        <r>
          <rPr>
            <sz val="12"/>
            <color indexed="81"/>
            <rFont val="Tahoma"/>
            <family val="2"/>
          </rPr>
          <t xml:space="preserve">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r>
        <r>
          <rPr>
            <b/>
            <sz val="12"/>
            <color indexed="81"/>
            <rFont val="Tahoma"/>
            <family val="2"/>
          </rPr>
          <t xml:space="preserve">
</t>
        </r>
        <r>
          <rPr>
            <sz val="12"/>
            <color indexed="81"/>
            <rFont val="Tahoma"/>
            <family val="2"/>
          </rPr>
          <t xml:space="preserve">
</t>
        </r>
        <r>
          <rPr>
            <b/>
            <sz val="9"/>
            <color indexed="81"/>
            <rFont val="Tahoma"/>
            <family val="2"/>
          </rPr>
          <t xml:space="preserve">
</t>
        </r>
        <r>
          <rPr>
            <sz val="9"/>
            <color indexed="81"/>
            <rFont val="Tahoma"/>
            <family val="2"/>
          </rPr>
          <t xml:space="preserve">
</t>
        </r>
      </text>
    </comment>
    <comment ref="H60" authorId="0" shapeId="0" xr:uid="{D3AD5C95-CF6B-4450-94F2-207F46979D87}">
      <text>
        <r>
          <rPr>
            <b/>
            <sz val="12"/>
            <color indexed="81"/>
            <rFont val="Tahoma"/>
            <family val="2"/>
          </rPr>
          <t xml:space="preserve">Características del Aprendiz Acomodador
</t>
        </r>
        <r>
          <rPr>
            <sz val="12"/>
            <color indexed="81"/>
            <rFont val="Tahoma"/>
            <family val="2"/>
          </rPr>
          <t>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r>
        <r>
          <rPr>
            <b/>
            <sz val="12"/>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<sst xmlns="http://schemas.openxmlformats.org/spreadsheetml/2006/main" count="193" uniqueCount="174">
  <si>
    <t>La pregunta a contestar es: ¿Cómo aprendo? Ó Cuando deseo aprender algo o resolver un problema, mis manera habitual de proceder podría calificarse de:</t>
  </si>
  <si>
    <t>Distinguiendo una cosa de otra.</t>
  </si>
  <si>
    <t>Me fijo principalmente en lo que recibo.</t>
  </si>
  <si>
    <t>Experimentando sensaciones.</t>
  </si>
  <si>
    <t>EXPERIENCIA CONCRECTA</t>
  </si>
  <si>
    <t>OBSERVACIÓN REFLEXIVA</t>
  </si>
  <si>
    <t>CONCEPTUALIZACIÓN ABSTRACTA</t>
  </si>
  <si>
    <t>EXPERIMENTACIÓN ACTIVA</t>
  </si>
  <si>
    <t>El estilo de aprendizaje que más se acerque al suyo</t>
  </si>
  <si>
    <t>El estilo de aprendizaje que lo sigue en orden decreciente</t>
  </si>
  <si>
    <t>El estilo de aprendizaje que menos se acerca al suyo</t>
  </si>
  <si>
    <t>Dimensiones del aprendizaje según David Kolb</t>
  </si>
  <si>
    <t>Experiencia Concreta y Conceptualización abstracta</t>
  </si>
  <si>
    <t>Forma como el individuo organiza su trabajo</t>
  </si>
  <si>
    <t>Experimentación activa y Observación reflexiva</t>
  </si>
  <si>
    <t>Manera como el individuo se relaciona con el objeto de aprendizaje</t>
  </si>
  <si>
    <t>Conceptualización abstracta menos experiencia concreta</t>
  </si>
  <si>
    <t>X</t>
  </si>
  <si>
    <t>Experimentación activa menos observación reflexiva</t>
  </si>
  <si>
    <t>Y</t>
  </si>
  <si>
    <t>ACOMODADOR</t>
  </si>
  <si>
    <t>Si X está entre 2 y -12 y Y entre 3 y 17.</t>
  </si>
  <si>
    <t>Si bien no hay riesgos con esta persona de que incumpla con los trabajos, si puede perderse en actividades triviales. Puede desempeñarse muy bien en los carreras orientadas a la práctica como a las ventas y a la mercadotecnia.</t>
  </si>
  <si>
    <t>DIVERGENTE</t>
  </si>
  <si>
    <t>Si X está entre 2 y -12, y Y entre 2 y -12</t>
  </si>
  <si>
    <t>CONVERGENTE</t>
  </si>
  <si>
    <t>Si X está entre 3 y 18 y Y entre 3 y 17.</t>
  </si>
  <si>
    <t>ASIMILADOR</t>
  </si>
  <si>
    <t>Si X está entre 3 y 18, y entre 2 y -11</t>
  </si>
  <si>
    <t>Se desempeña bien en la planeación, informática y ciencias puras, creando modelos, difiniendo problemas, desarrollando y experimentando teorías. Prefiere las relaciones con las ideas que con la gente.</t>
  </si>
  <si>
    <t xml:space="preserve">DICERNIMIENTO
Procedo por eliminación, trato de distinguir cuidadosamente los elementos más pertinentes. </t>
  </si>
  <si>
    <t>INVOLUCRÁNDOME. 
Me involucro a fondo, trabajo con ardor, pongo mucho interés y energía.</t>
  </si>
  <si>
    <t>PRACTICANDO. 
Trato de hacerlo de manera satisfactoria, yendo de lo más corto, con un mínimo de tiempo y esfuerzo.</t>
  </si>
  <si>
    <t>RELACIONANDO.
 Trato de ubicarme correctamente con relación a la pregunta o al problema que se presenta.</t>
  </si>
  <si>
    <t>SINTIENDO. 
Pongo atención a lo que siento espontáneamente y a lo que soy dentro de la situación.</t>
  </si>
  <si>
    <t xml:space="preserve">IMPARCIALMENTE. 
Me esfuerzo por ser lo más objetivo posible, estudio la situación sin tomar partido ni prejuicios.
</t>
  </si>
  <si>
    <t xml:space="preserve">OBSERVANDO. 
Observo atentamente lo que sucede y como se desarrolla
</t>
  </si>
  <si>
    <t>PENSANDO. 
Pienso y trato de comprender qué es lo que me presenta una dificultad, trato de encontrar una explicación a lo que me intriga</t>
  </si>
  <si>
    <t xml:space="preserve">ANALITICAMENTE.
Analizo la situación, tomo en consideración, uno a uno, los diferentes elementos que pueda identificar. </t>
  </si>
  <si>
    <t>HACIENDO. 
Paso rápidamente a la acción, hago de todo para resolver inmediatamente y de manera práctica el problema presentado.</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</si>
  <si>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</si>
  <si>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</si>
  <si>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</si>
  <si>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</si>
  <si>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</si>
  <si>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</si>
  <si>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</si>
  <si>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</si>
  <si>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</si>
  <si>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</si>
  <si>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</si>
  <si>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</si>
  <si>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</si>
  <si>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</si>
  <si>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</si>
  <si>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</si>
  <si>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</si>
  <si>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</si>
  <si>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</si>
  <si>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</si>
  <si>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</si>
  <si>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</si>
  <si>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IDENTIFICACION ESTILOS DE APRENDIZAJE</t>
  </si>
  <si>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</si>
  <si>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</si>
  <si>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Para evaluar su estilo de aprendizaje presentamos grupos de 4 conceptos en cada fila (horizontal), que deberá señalar así:</t>
  </si>
  <si>
    <t>Nombres completos</t>
  </si>
  <si>
    <t>Número de identificación</t>
  </si>
  <si>
    <t xml:space="preserve">Fecha: </t>
  </si>
  <si>
    <t>Edad</t>
  </si>
  <si>
    <t>TOTAL</t>
  </si>
  <si>
    <t>EXPERIENCIA CONCRETA</t>
  </si>
  <si>
    <t>EXPERIMEN TACIÓN ACTIVA</t>
  </si>
  <si>
    <t>AFECTIVAMENTE
Pongo toda mi atención sobre el tema o problema y reflexiono hasta llegar a una conclusión satisfactoria.</t>
  </si>
  <si>
    <t>ACEPTANDO
Acepto la situación tal cual se presenta, admito incondicionalmente la realidad, parto de los hechos tal como son.</t>
  </si>
  <si>
    <r>
      <rPr>
        <b/>
        <sz val="14"/>
        <color indexed="8"/>
        <rFont val="Arial"/>
        <family val="2"/>
      </rPr>
      <t>INSTRUCCIÓN</t>
    </r>
    <r>
      <rPr>
        <sz val="14"/>
        <color indexed="8"/>
        <rFont val="Arial"/>
        <family val="2"/>
      </rPr>
      <t>: Debe completar los cuatro casilleros en cada fila sin repetir los números. Se incluye la valoración de manera  horizontal.</t>
    </r>
  </si>
  <si>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</si>
  <si>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</si>
  <si>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CARACTERÍSTICAS</t>
  </si>
  <si>
    <t>ESTRATEGIAS METODOLÓGICAS QUE PREFIERE</t>
  </si>
  <si>
    <t>Intuitivo, anticipa soluciones.</t>
  </si>
  <si>
    <t>Trabajos grupales.</t>
  </si>
  <si>
    <t>Observador, atento a los detalles.</t>
  </si>
  <si>
    <t>Ejercicios de imaginación.</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</si>
  <si>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</si>
  <si>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</si>
  <si>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</si>
  <si>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</si>
  <si>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</si>
  <si>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</si>
  <si>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</si>
  <si>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Gráficos ilustrativos sobre los contenidos.</t>
  </si>
  <si>
    <t>Actividades de periodismo, entrevistas.</t>
  </si>
  <si>
    <t>Elaborar metáforas sobre contenidos.</t>
  </si>
  <si>
    <t>Hacerle utilizar el ensayo y error.</t>
  </si>
  <si>
    <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b/>
        <sz val="7.5"/>
        <color indexed="8"/>
        <rFont val="Trebuchet MS"/>
        <family val="2"/>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</si>
  <si>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</si>
  <si>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</si>
  <si>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</si>
  <si>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</si>
  <si>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</si>
  <si>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</si>
  <si>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</si>
  <si>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</si>
  <si>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</si>
  <si>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</si>
  <si>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</si>
  <si>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Realizar experimentos</t>
  </si>
  <si>
    <t>Construir mapas conceptuales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</si>
  <si>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</si>
  <si>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</si>
  <si>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</si>
  <si>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r>
      <rPr>
        <sz val="12"/>
        <color indexed="8"/>
        <rFont val="Times New Roman"/>
        <family val="1"/>
      </rPr>
      <t xml:space="preserve"> </t>
    </r>
    <r>
      <rPr>
        <sz val="12"/>
        <color indexed="8"/>
        <rFont val="Trebuchet MS"/>
        <family val="2"/>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</si>
  <si>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</si>
  <si>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</si>
  <si>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</si>
  <si>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</si>
  <si>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</si>
  <si>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</si>
  <si>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</si>
  <si>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</si>
  <si>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</si>
  <si>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</si>
  <si>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Demostraciones prácticas.</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</si>
  <si>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</si>
  <si>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</si>
  <si>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</si>
  <si>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</si>
  <si>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</si>
  <si>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</si>
  <si>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</si>
  <si>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</si>
  <si>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</si>
  <si>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</si>
  <si>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</si>
  <si>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</si>
  <si>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</si>
  <si>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</si>
  <si>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</si>
  <si>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</si>
  <si>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Fuente:</t>
  </si>
  <si>
    <t>http://www.rmm.cl/index_sub2.php?id_contenido=10497&amp;id_seccion=2816&amp;id_portal=432</t>
  </si>
  <si>
    <t>Le agrada trabajar de manera individual</t>
  </si>
  <si>
    <t>Sociable, empático, abierto, espontáneo</t>
  </si>
  <si>
    <t>Acepta retos, impulsivo, orientado a la acción</t>
  </si>
  <si>
    <t>Busca objetivos, flexible, comprometido</t>
  </si>
  <si>
    <t>Dependiente de los demás</t>
  </si>
  <si>
    <t>Poca habilidad analítica</t>
  </si>
  <si>
    <t>Capacidad de síntesis</t>
  </si>
  <si>
    <t>Genera ideas, soñador, espontáneo</t>
  </si>
  <si>
    <t>Empático,abierto, emocional, intuitivo</t>
  </si>
  <si>
    <t>Flexible, valora la comprensión</t>
  </si>
  <si>
    <t>Disfruta el descubrimiento</t>
  </si>
  <si>
    <t>Orientado a las personas</t>
  </si>
  <si>
    <t>Buen discriminador, orientado a la tarea</t>
  </si>
  <si>
    <t>Disfruta aspectos técnicos</t>
  </si>
  <si>
    <t>Gusta de la experimentación</t>
  </si>
  <si>
    <t>Investigador, capacidad de síntesis</t>
  </si>
  <si>
    <t>Genera modelos, disfruta la teoría y el diseño</t>
  </si>
  <si>
    <t>Poco empático, hermético, poco sensible</t>
  </si>
  <si>
    <t>Pensador abstracto, planificador</t>
  </si>
  <si>
    <t>Pragmático, racional, analítico, organizado</t>
  </si>
  <si>
    <t>Poco imaginativo, deductivo, líder</t>
  </si>
  <si>
    <t>Capacidad de relacionar diversos contenidos</t>
  </si>
  <si>
    <t>Al ubicarse sobre cada Estilo se despliega un resumen de sus características</t>
  </si>
  <si>
    <t>Programa de Formación</t>
  </si>
  <si>
    <t xml:space="preserve">RECEPTIVAMENTE
Estoy concentrado plenamente en lo que sucede y disponible para recoger la mayor cantidad de elementos posible.
</t>
  </si>
  <si>
    <t>N°</t>
  </si>
  <si>
    <t>NOMBRE DEL APRENDIZ</t>
  </si>
  <si>
    <t>ESTILO DE APRENDIZAJE</t>
  </si>
  <si>
    <t>ENSAYANDO
Actúo por olfato, ensayo las cosas que se me ocurren, que se me vienen a la mente hasta que funciona</t>
  </si>
  <si>
    <t>Analisis y Desarrollo de Software</t>
  </si>
  <si>
    <t>Martin Julian Torres Fierro</t>
  </si>
  <si>
    <t xml:space="preserve">Juan Sebastian Medina Cardozo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</si>
</sst>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2"/>
      <name val="Verdana"/>
      <family val="2"/>
    </font>
    <font>
      <b/>
      <sz val="12"/>
      <color indexed="81"/>
      <name val="Tahoma"/>
      <family val="2"/>
    </font>
    <font>
      <sz val="12"/>
      <color indexed="81"/>
      <name val="Tahoma"/>
      <family val="2"/>
    </font>
    <font>
      <b/>
      <sz val="9"/>
      <color indexed="81"/>
      <name val="Tahoma"/>
      <family val="2"/>
    </font>
    <font>
      <sz val="9"/>
      <color indexed="81"/>
      <name val="Tahoma"/>
      <family val="2"/>
    </font>
    <font>
      <sz val="14"/>
      <color indexed="8"/>
      <name val="Arial"/>
      <family val="2"/>
    </font>
    <font>
      <b/>
      <sz val="14"/>
      <color indexed="8"/>
      <name val="Arial"/>
      <family val="2"/>
    </font>
    <font>
      <b/>
      <i/>
      <sz val="12"/>
      <name val="Verdana"/>
      <family val="2"/>
    </font>
    <font>
      <b/>
      <sz val="7.5"/>
      <color indexed="8"/>
      <name val="Trebuchet MS"/>
      <family val="2"/>
    </font>
    <font>
      <sz val="12"/>
      <color indexed="8"/>
      <name val="Times New Roman"/>
      <family val="1"/>
    </font>
    <font>
      <sz val="12"/>
      <color indexed="8"/>
      <name val="Trebuchet MS"/>
      <family val="2"/>
    </font>
    <font>
      <sz val="11"/>
      <color theme="0"/>
      <name val="Calibri"/>
      <family val="2"/>
      <scheme val="minor"/>
    </font>
    <font>
      <u/>
      <sz val="11"/>
      <color theme="10"/>
      <name val="Calibri"/>
      <family val="2"/>
    </font>
    <font>
      <b/>
      <sz val="18"/>
      <color theme="3"/>
      <name val="Cambria"/>
      <family val="2"/>
      <scheme val="major"/>
    </font>
    <font>
      <b/>
      <sz val="11"/>
      <color theme="1"/>
      <name val="Calibri"/>
      <family val="2"/>
      <scheme val="minor"/>
    </font>
    <font>
      <sz val="11"/>
      <color theme="1"/>
      <name val="Arial"/>
      <family val="2"/>
    </font>
    <font>
      <b/>
      <sz val="11"/>
      <color rgb="FFFF0000"/>
      <name val="Calibri"/>
      <family val="2"/>
      <scheme val="minor"/>
    </font>
    <font>
      <sz val="11"/>
      <color theme="1"/>
      <name val="Verdana"/>
      <family val="2"/>
    </font>
    <font>
      <b/>
      <sz val="14"/>
      <color rgb="FF000000"/>
      <name val="Calibri"/>
      <family val="2"/>
      <scheme val="minor"/>
    </font>
    <font>
      <sz val="11"/>
      <color rgb="FF000000"/>
      <name val="Calibri"/>
      <family val="2"/>
      <scheme val="minor"/>
    </font>
    <font>
      <b/>
      <sz val="10"/>
      <color rgb="FF000000"/>
      <name val="Calibri"/>
      <family val="2"/>
      <scheme val="minor"/>
    </font>
    <font>
      <b/>
      <sz val="12"/>
      <color theme="1"/>
      <name val="Arial"/>
      <family val="2"/>
    </font>
    <font>
      <sz val="10"/>
      <color theme="1"/>
      <name val="Arial"/>
      <family val="2"/>
    </font>
    <font>
      <b/>
      <sz val="11"/>
      <name val="Calibri"/>
      <family val="2"/>
      <scheme val="minor"/>
    </font>
    <font>
      <b/>
      <sz val="12"/>
      <name val="Calibri"/>
      <family val="2"/>
      <scheme val="minor"/>
    </font>
    <font>
      <sz val="13"/>
      <color theme="1"/>
      <name val="Calibri"/>
      <family val="2"/>
      <scheme val="minor"/>
    </font>
    <font>
      <b/>
      <sz val="10"/>
      <color theme="1"/>
      <name val="Calibri"/>
      <family val="2"/>
      <scheme val="minor"/>
    </font>
    <font>
      <b/>
      <sz val="8"/>
      <color theme="1"/>
      <name val="Calibri"/>
      <family val="2"/>
      <scheme val="minor"/>
    </font>
    <font>
      <b/>
      <sz val="11"/>
      <color theme="3"/>
      <name val="Cambria"/>
      <family val="2"/>
      <scheme val="major"/>
    </font>
    <font>
      <b/>
      <sz val="14"/>
      <color theme="0"/>
      <name val="Calibri"/>
      <family val="2"/>
      <scheme val="minor"/>
    </font>
    <font>
      <b/>
      <sz val="13"/>
      <color theme="1"/>
      <name val="Arial"/>
      <family val="2"/>
    </font>
    <font>
      <b/>
      <sz val="11"/>
      <color theme="1"/>
      <name val="Arial"/>
      <family val="2"/>
    </font>
    <font>
      <sz val="14"/>
      <color theme="1"/>
      <name val="Arial"/>
      <family val="2"/>
    </font>
    <font>
      <i/>
      <sz val="11"/>
      <color theme="1"/>
      <name val="Calibri"/>
      <family val="2"/>
      <scheme val="minor"/>
    </font>
    <font>
      <sz val="11"/>
      <color rgb="FF000000"/>
      <name val="Trebuchet MS"/>
      <family val="2"/>
    </font>
    <font>
      <sz val="10"/>
      <color rgb="FF000000"/>
      <name val="Trebuchet MS"/>
      <family val="2"/>
    </font>
    <font>
      <sz val="11"/>
      <color rgb="FF000000"/>
      <name val="Verdana"/>
      <family val="2"/>
    </font>
    <font>
      <sz val="12"/>
      <color rgb="FF000000"/>
      <name val="Verdana"/>
      <family val="2"/>
    </font>
    <font>
      <sz val="12"/>
      <color rgb="FF000000"/>
      <name val="Trebuchet MS"/>
      <family val="2"/>
    </font>
    <font>
      <b/>
      <sz val="11"/>
      <color theme="9" tint="-0.249977111117893"/>
      <name val="Verdana"/>
      <family val="2"/>
    </font>
    <font>
      <sz val="15"/>
      <color theme="1"/>
      <name val="Calibri"/>
      <family val="2"/>
      <scheme val="minor"/>
    </font>
    <font>
      <sz val="16"/>
      <color theme="1"/>
      <name val="Calibri"/>
      <family val="2"/>
      <scheme val="minor"/>
    </font>
    <font>
      <b/>
      <sz val="10"/>
      <color theme="1"/>
      <name val="Verdana"/>
      <family val="2"/>
    </font>
    <font>
      <b/>
      <sz val="12"/>
      <color theme="7" tint="-0.249977111117893"/>
      <name val="Verdana"/>
      <family val="2"/>
    </font>
    <font>
      <b/>
      <sz val="11"/>
      <color rgb="FF000000"/>
      <name val="Verdana"/>
      <family val="2"/>
    </font>
    <font>
      <sz val="12"/>
      <color theme="1"/>
      <name val="Arial"/>
      <family val="2"/>
    </font>
    <font>
      <b/>
      <sz val="20"/>
      <color theme="1"/>
      <name val="Arial"/>
      <family val="2"/>
    </font>
    <font>
      <sz val="13"/>
      <color theme="1"/>
      <name val="Arial"/>
      <family val="2"/>
    </font>
    <font>
      <b/>
      <sz val="12"/>
      <color rgb="FFFFFF00"/>
      <name val="Verdana"/>
      <family val="2"/>
    </font>
  </fonts>
  <fills count="12">
    <fill>
      <patternFill patternType="none"/>
    </fill>
    <fill>
      <patternFill patternType="gray125"/>
    </fill>
    <fill>
      <patternFill patternType="solid">
        <fgColor rgb="FFB2A1C7"/>
        <bgColor rgb="FF000000"/>
      </patternFill>
    </fill>
    <fill>
      <patternFill patternType="solid">
        <fgColor rgb="FF9BBB59"/>
        <bgColor rgb="FF000000"/>
      </patternFill>
    </fill>
    <fill>
      <patternFill patternType="solid">
        <fgColor rgb="FF4F81BD"/>
        <bgColor rgb="FF000000"/>
      </patternFill>
    </fill>
    <fill>
      <patternFill patternType="solid">
        <fgColor rgb="FFE46D0A"/>
        <bgColor rgb="FF000000"/>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s>
  <cellStyleXfs count="3">
    <xf numFmtId="0" fontId="0" fillId="0" borderId="0"/>
    <xf numFmtId="0" fontId="13" fillId="0" borderId="0" applyNumberFormat="0" applyFill="0" applyBorder="0" applyAlignment="0" applyProtection="0">
      <alignment vertical="top"/>
      <protection locked="0"/>
    </xf>
    <xf numFmtId="0" fontId="14" fillId="0" borderId="0" applyNumberFormat="0" applyFill="0" applyBorder="0" applyAlignment="0" applyProtection="0"/>
  </cellStyleXfs>
  <cellXfs count="119">
    <xf numFmtId="0" fontId="0" fillId="0" borderId="0" xfId="0"/>
    <xf numFmtId="0" fontId="16" fillId="0" borderId="0" xfId="0" applyFont="1"/>
    <xf numFmtId="0" fontId="16" fillId="0" borderId="0" xfId="0" applyFont="1" applyAlignment="1">
      <alignment vertical="center" wrapText="1"/>
    </xf>
    <xf numFmtId="0" fontId="17" fillId="0" borderId="0" xfId="0" applyFont="1"/>
    <xf numFmtId="0" fontId="17" fillId="0" borderId="0" xfId="0" applyFont="1" applyAlignment="1">
      <alignment horizontal="center"/>
    </xf>
    <xf numFmtId="0" fontId="18" fillId="0" borderId="0" xfId="0" applyFont="1"/>
    <xf numFmtId="0" fontId="15" fillId="0" borderId="0" xfId="0" applyFont="1"/>
    <xf numFmtId="0" fontId="0" fillId="0" borderId="0" xfId="0" applyAlignment="1">
      <alignment wrapText="1"/>
    </xf>
    <xf numFmtId="0" fontId="19" fillId="0" borderId="0" xfId="0" applyFont="1"/>
    <xf numFmtId="0" fontId="19" fillId="2" borderId="0" xfId="0" applyFont="1" applyFill="1" applyAlignment="1">
      <alignment horizontal="center" wrapText="1"/>
    </xf>
    <xf numFmtId="0" fontId="20" fillId="0" borderId="0" xfId="0" applyFont="1"/>
    <xf numFmtId="0" fontId="21" fillId="2" borderId="0" xfId="0" applyFont="1" applyFill="1" applyAlignment="1">
      <alignment horizontal="center" wrapText="1"/>
    </xf>
    <xf numFmtId="0" fontId="19" fillId="3" borderId="0" xfId="0" applyFont="1" applyFill="1" applyAlignment="1">
      <alignment horizontal="center"/>
    </xf>
    <xf numFmtId="0" fontId="21" fillId="3" borderId="0" xfId="0" applyFont="1" applyFill="1" applyAlignment="1">
      <alignment horizontal="center" wrapText="1"/>
    </xf>
    <xf numFmtId="0" fontId="19" fillId="4" borderId="0" xfId="0" applyFont="1" applyFill="1" applyAlignment="1">
      <alignment horizontal="center"/>
    </xf>
    <xf numFmtId="0" fontId="21" fillId="4" borderId="0" xfId="0" applyFont="1" applyFill="1" applyAlignment="1">
      <alignment horizontal="center" wrapText="1"/>
    </xf>
    <xf numFmtId="0" fontId="19" fillId="5" borderId="0" xfId="0" applyFont="1" applyFill="1" applyAlignment="1">
      <alignment horizontal="center"/>
    </xf>
    <xf numFmtId="0" fontId="21" fillId="5" borderId="0" xfId="0" applyFont="1" applyFill="1" applyAlignment="1">
      <alignment horizontal="center" wrapText="1"/>
    </xf>
    <xf numFmtId="0" fontId="12" fillId="0" borderId="0" xfId="0" applyFont="1"/>
    <xf numFmtId="0" fontId="0" fillId="0" borderId="1" xfId="0" applyBorder="1"/>
    <xf numFmtId="0" fontId="15" fillId="0" borderId="1" xfId="0" applyFont="1" applyBorder="1" applyAlignment="1">
      <alignment vertical="center" wrapText="1"/>
    </xf>
    <xf numFmtId="0" fontId="0" fillId="0" borderId="1" xfId="0" applyBorder="1" applyAlignment="1">
      <alignment wrapText="1"/>
    </xf>
    <xf numFmtId="0" fontId="15" fillId="0" borderId="0" xfId="0" applyFont="1" applyAlignment="1">
      <alignment horizontal="center"/>
    </xf>
    <xf numFmtId="0" fontId="17" fillId="0" borderId="0" xfId="0" applyFont="1" applyAlignment="1" applyProtection="1">
      <alignment horizontal="center"/>
    </xf>
    <xf numFmtId="0" fontId="15" fillId="0" borderId="0" xfId="0" applyFont="1" applyFill="1"/>
    <xf numFmtId="0" fontId="1" fillId="0" borderId="0" xfId="0" applyFont="1" applyFill="1" applyAlignment="1">
      <alignment horizontal="left"/>
    </xf>
    <xf numFmtId="0" fontId="22" fillId="0" borderId="0" xfId="0" applyFont="1" applyAlignment="1">
      <alignment horizontal="center"/>
    </xf>
    <xf numFmtId="0" fontId="23" fillId="0" borderId="0" xfId="0" applyFont="1" applyAlignment="1">
      <alignment horizontal="justify"/>
    </xf>
    <xf numFmtId="0" fontId="24" fillId="0" borderId="0" xfId="0" applyFont="1"/>
    <xf numFmtId="0" fontId="24" fillId="0" borderId="0" xfId="0" applyFont="1" applyAlignment="1" applyProtection="1">
      <alignment horizontal="center"/>
    </xf>
    <xf numFmtId="0" fontId="24" fillId="0" borderId="0" xfId="0" applyFont="1" applyAlignment="1">
      <alignment horizontal="center"/>
    </xf>
    <xf numFmtId="0" fontId="25" fillId="0" borderId="1" xfId="0" applyFont="1" applyBorder="1" applyAlignment="1">
      <alignment horizontal="center" vertical="center" wrapText="1"/>
    </xf>
    <xf numFmtId="0" fontId="26" fillId="0" borderId="1" xfId="0" applyFont="1" applyBorder="1" applyAlignment="1">
      <alignment horizontal="center"/>
    </xf>
    <xf numFmtId="0" fontId="0" fillId="0" borderId="0" xfId="0" applyBorder="1"/>
    <xf numFmtId="0" fontId="27" fillId="0" borderId="0" xfId="0" applyFont="1" applyBorder="1" applyAlignment="1">
      <alignment horizontal="center" wrapText="1"/>
    </xf>
    <xf numFmtId="0" fontId="28" fillId="0" borderId="0" xfId="0" applyFont="1" applyBorder="1" applyAlignment="1">
      <alignment horizontal="center"/>
    </xf>
    <xf numFmtId="0" fontId="29" fillId="0" borderId="0" xfId="2" applyFont="1" applyAlignment="1">
      <alignment horizontal="center" vertical="center" wrapText="1"/>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30" fillId="0" borderId="0" xfId="0" applyFont="1" applyFill="1" applyAlignment="1">
      <alignment horizontal="center"/>
    </xf>
    <xf numFmtId="0" fontId="30" fillId="0" borderId="0" xfId="0" applyFont="1" applyFill="1"/>
    <xf numFmtId="0" fontId="18" fillId="0" borderId="0" xfId="0" applyFont="1" applyAlignment="1">
      <alignment vertical="center" wrapText="1"/>
    </xf>
    <xf numFmtId="0" fontId="16" fillId="0" borderId="0" xfId="0" applyFont="1" applyAlignment="1" applyProtection="1">
      <alignment vertical="center" wrapText="1"/>
      <protection locked="0"/>
    </xf>
    <xf numFmtId="0" fontId="31" fillId="0" borderId="1" xfId="0" applyFont="1" applyBorder="1" applyAlignment="1" applyProtection="1">
      <alignment horizontal="center" vertical="center" wrapText="1"/>
      <protection locked="0"/>
    </xf>
    <xf numFmtId="0" fontId="32" fillId="0" borderId="0" xfId="0" applyFont="1" applyBorder="1" applyAlignment="1" applyProtection="1">
      <alignment horizontal="center" vertical="center" wrapText="1"/>
      <protection locked="0"/>
    </xf>
    <xf numFmtId="0" fontId="16" fillId="0" borderId="0" xfId="0" applyFont="1" applyBorder="1" applyAlignment="1" applyProtection="1">
      <alignment vertical="center" wrapText="1"/>
      <protection locked="0"/>
    </xf>
    <xf numFmtId="0" fontId="33" fillId="0" borderId="0" xfId="0" applyFont="1" applyProtection="1">
      <protection locked="0"/>
    </xf>
    <xf numFmtId="0" fontId="18" fillId="0" borderId="0" xfId="0" applyFont="1" applyAlignment="1">
      <alignment vertical="center" wrapText="1"/>
    </xf>
    <xf numFmtId="0" fontId="34" fillId="0" borderId="0" xfId="0" applyFont="1" applyFill="1"/>
    <xf numFmtId="0" fontId="8" fillId="0" borderId="0" xfId="0" applyFont="1" applyFill="1" applyAlignment="1">
      <alignment horizontal="left"/>
    </xf>
    <xf numFmtId="0" fontId="35" fillId="0" borderId="0" xfId="0" applyFont="1" applyAlignment="1">
      <alignment horizontal="left" indent="2"/>
    </xf>
    <xf numFmtId="0" fontId="18" fillId="0" borderId="0" xfId="0" applyFont="1" applyAlignment="1">
      <alignment horizontal="left" vertical="center" wrapText="1"/>
    </xf>
    <xf numFmtId="0" fontId="36" fillId="0" borderId="0" xfId="0" applyFont="1" applyAlignment="1">
      <alignment horizontal="left" indent="2"/>
    </xf>
    <xf numFmtId="0" fontId="34" fillId="0" borderId="0" xfId="0" applyFont="1"/>
    <xf numFmtId="0" fontId="37" fillId="0" borderId="0" xfId="0" applyFont="1" applyAlignment="1">
      <alignment horizontal="left" indent="2"/>
    </xf>
    <xf numFmtId="0" fontId="38" fillId="0" borderId="0" xfId="0" applyFont="1" applyAlignment="1">
      <alignment horizontal="left" indent="2"/>
    </xf>
    <xf numFmtId="0" fontId="39" fillId="0" borderId="0" xfId="0" applyFont="1" applyAlignment="1">
      <alignment horizontal="left" indent="2"/>
    </xf>
    <xf numFmtId="0" fontId="13" fillId="0" borderId="0" xfId="1" applyAlignment="1" applyProtection="1"/>
    <xf numFmtId="0" fontId="40" fillId="0" borderId="0" xfId="0" applyFont="1" applyAlignment="1">
      <alignment horizontal="center"/>
    </xf>
    <xf numFmtId="0" fontId="41" fillId="0" borderId="0" xfId="0" applyFont="1"/>
    <xf numFmtId="0" fontId="41" fillId="0" borderId="0" xfId="0" applyFont="1" applyAlignment="1">
      <alignment wrapText="1"/>
    </xf>
    <xf numFmtId="0" fontId="0" fillId="0" borderId="0" xfId="0" applyProtection="1">
      <protection locked="0"/>
    </xf>
    <xf numFmtId="0" fontId="42" fillId="0" borderId="0" xfId="0" applyFont="1" applyProtection="1">
      <protection locked="0"/>
    </xf>
    <xf numFmtId="0" fontId="18" fillId="0" borderId="0" xfId="0" applyFont="1" applyAlignment="1">
      <alignment vertical="center" wrapText="1"/>
    </xf>
    <xf numFmtId="0" fontId="43" fillId="0" borderId="0" xfId="0" applyFont="1" applyAlignment="1">
      <alignment horizontal="left" vertical="center" wrapText="1"/>
    </xf>
    <xf numFmtId="0" fontId="1" fillId="8" borderId="0" xfId="0" applyFont="1" applyFill="1" applyAlignment="1">
      <alignment horizontal="left"/>
    </xf>
    <xf numFmtId="0" fontId="37" fillId="0" borderId="0" xfId="0" applyFont="1" applyAlignment="1">
      <alignment horizontal="left" wrapText="1" indent="2"/>
    </xf>
    <xf numFmtId="0" fontId="44" fillId="8" borderId="0" xfId="0" applyFont="1" applyFill="1" applyAlignment="1">
      <alignment horizontal="left"/>
    </xf>
    <xf numFmtId="0" fontId="0" fillId="0" borderId="0" xfId="0" applyAlignment="1">
      <alignment horizontal="left"/>
    </xf>
    <xf numFmtId="0" fontId="15" fillId="0" borderId="1" xfId="0" applyFont="1" applyBorder="1" applyAlignment="1">
      <alignment horizontal="center" vertical="center"/>
    </xf>
    <xf numFmtId="0" fontId="45" fillId="0" borderId="0" xfId="0" applyFont="1" applyAlignment="1">
      <alignment horizontal="left" indent="2"/>
    </xf>
    <xf numFmtId="0" fontId="0" fillId="0" borderId="1" xfId="0" applyBorder="1" applyAlignment="1">
      <alignment horizontal="center"/>
    </xf>
    <xf numFmtId="0" fontId="46" fillId="0" borderId="1" xfId="0" applyFont="1" applyBorder="1" applyAlignment="1" applyProtection="1">
      <alignment vertical="center" wrapText="1"/>
      <protection locked="0"/>
    </xf>
    <xf numFmtId="0" fontId="17" fillId="0" borderId="4" xfId="0" applyFont="1" applyBorder="1" applyAlignment="1" applyProtection="1">
      <alignment horizontal="center" vertical="center" wrapText="1"/>
      <protection locked="0"/>
    </xf>
    <xf numFmtId="0" fontId="15" fillId="0" borderId="0" xfId="0" applyFont="1" applyAlignment="1">
      <alignment horizontal="center" vertical="center" wrapText="1"/>
    </xf>
    <xf numFmtId="0" fontId="33" fillId="0" borderId="0" xfId="0" applyFont="1" applyAlignment="1" applyProtection="1">
      <alignment vertical="center" wrapText="1"/>
      <protection locked="0"/>
    </xf>
    <xf numFmtId="0" fontId="47" fillId="0" borderId="0" xfId="0" applyFont="1" applyAlignment="1">
      <alignment horizontal="center" vertical="center" wrapText="1"/>
    </xf>
    <xf numFmtId="0" fontId="48" fillId="0" borderId="1" xfId="0" applyFont="1" applyBorder="1" applyAlignment="1" applyProtection="1">
      <alignment vertical="center" wrapText="1"/>
      <protection locked="0"/>
    </xf>
    <xf numFmtId="0" fontId="16" fillId="0" borderId="2" xfId="0" applyFont="1" applyBorder="1" applyAlignment="1" applyProtection="1">
      <alignment horizontal="center"/>
      <protection locked="0"/>
    </xf>
    <xf numFmtId="0" fontId="16" fillId="0" borderId="3" xfId="0" applyFont="1" applyBorder="1" applyAlignment="1" applyProtection="1">
      <alignment horizontal="center"/>
      <protection locked="0"/>
    </xf>
    <xf numFmtId="14" fontId="16" fillId="0" borderId="2" xfId="0" applyNumberFormat="1" applyFont="1" applyBorder="1" applyAlignment="1" applyProtection="1">
      <alignment horizontal="center"/>
      <protection locked="0"/>
    </xf>
    <xf numFmtId="0" fontId="32" fillId="0" borderId="2" xfId="0" applyFont="1" applyBorder="1" applyAlignment="1" applyProtection="1">
      <alignment horizontal="left"/>
      <protection locked="0"/>
    </xf>
    <xf numFmtId="0" fontId="32" fillId="0" borderId="3" xfId="0" applyFont="1" applyBorder="1" applyAlignment="1" applyProtection="1">
      <alignment horizontal="left"/>
      <protection locked="0"/>
    </xf>
    <xf numFmtId="0" fontId="32" fillId="0" borderId="2" xfId="0" applyFont="1" applyBorder="1" applyAlignment="1" applyProtection="1">
      <alignment horizontal="center"/>
      <protection locked="0"/>
    </xf>
    <xf numFmtId="0" fontId="32" fillId="0" borderId="3" xfId="0" applyFont="1" applyBorder="1" applyAlignment="1" applyProtection="1">
      <alignment horizontal="center"/>
      <protection locked="0"/>
    </xf>
    <xf numFmtId="0" fontId="16" fillId="0" borderId="2" xfId="0" applyFont="1" applyBorder="1" applyAlignment="1">
      <alignment horizontal="center"/>
    </xf>
    <xf numFmtId="0" fontId="16" fillId="0" borderId="3" xfId="0" applyFont="1" applyBorder="1" applyAlignment="1">
      <alignment horizontal="center"/>
    </xf>
    <xf numFmtId="0" fontId="30" fillId="9" borderId="0" xfId="0" applyFont="1" applyFill="1" applyAlignment="1" applyProtection="1">
      <alignment horizontal="center" vertical="center"/>
      <protection hidden="1"/>
    </xf>
    <xf numFmtId="0" fontId="30" fillId="10" borderId="0" xfId="0" applyFont="1" applyFill="1" applyAlignment="1" applyProtection="1">
      <alignment horizontal="center" vertical="center"/>
      <protection hidden="1"/>
    </xf>
    <xf numFmtId="0" fontId="30" fillId="11" borderId="0" xfId="0" applyFont="1" applyFill="1" applyAlignment="1" applyProtection="1">
      <alignment horizontal="center" vertical="center"/>
      <protection hidden="1"/>
    </xf>
    <xf numFmtId="0" fontId="30" fillId="6" borderId="0" xfId="0" applyFont="1" applyFill="1" applyAlignment="1" applyProtection="1">
      <alignment horizontal="center" vertical="center" wrapText="1"/>
      <protection hidden="1"/>
    </xf>
    <xf numFmtId="0" fontId="32" fillId="0" borderId="0" xfId="0" applyFont="1" applyAlignment="1">
      <alignment vertical="center" wrapText="1"/>
    </xf>
    <xf numFmtId="0" fontId="0" fillId="0" borderId="0" xfId="0" applyAlignment="1">
      <alignment wrapText="1"/>
    </xf>
    <xf numFmtId="0" fontId="6" fillId="0" borderId="0" xfId="0" applyFont="1" applyAlignment="1" applyProtection="1">
      <alignment vertical="center" wrapText="1"/>
      <protection locked="0"/>
    </xf>
    <xf numFmtId="0" fontId="24" fillId="0" borderId="0" xfId="0" applyFont="1" applyAlignment="1">
      <alignment horizontal="center"/>
    </xf>
    <xf numFmtId="0" fontId="26" fillId="0" borderId="2" xfId="0" applyFont="1" applyBorder="1" applyAlignment="1">
      <alignment horizontal="left" wrapText="1"/>
    </xf>
    <xf numFmtId="0" fontId="26" fillId="0" borderId="8" xfId="0" applyFont="1" applyBorder="1" applyAlignment="1">
      <alignment horizontal="left" wrapText="1"/>
    </xf>
    <xf numFmtId="0" fontId="26" fillId="0" borderId="3" xfId="0" applyFont="1" applyBorder="1" applyAlignment="1">
      <alignment horizontal="left" wrapText="1"/>
    </xf>
    <xf numFmtId="0" fontId="33" fillId="0" borderId="0" xfId="0" applyFont="1" applyAlignment="1" applyProtection="1">
      <alignment horizontal="left" wrapText="1"/>
      <protection locked="0"/>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 fillId="6" borderId="0" xfId="0" applyFont="1" applyFill="1" applyAlignment="1">
      <alignment horizontal="left"/>
    </xf>
    <xf numFmtId="0" fontId="18" fillId="0" borderId="0" xfId="0" applyFont="1" applyAlignment="1">
      <alignment vertical="center" wrapText="1"/>
    </xf>
    <xf numFmtId="0" fontId="43" fillId="0" borderId="0" xfId="0"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vertical="center" wrapText="1"/>
    </xf>
    <xf numFmtId="0" fontId="35" fillId="0" borderId="0" xfId="0" applyFont="1" applyAlignment="1">
      <alignment horizontal="left" wrapText="1" indent="2"/>
    </xf>
    <xf numFmtId="0" fontId="0" fillId="0" borderId="0" xfId="0" applyAlignment="1">
      <alignment horizontal="left" wrapText="1"/>
    </xf>
    <xf numFmtId="0" fontId="49" fillId="7" borderId="0" xfId="0" applyFont="1" applyFill="1" applyAlignment="1">
      <alignment horizontal="left"/>
    </xf>
    <xf numFmtId="0" fontId="18" fillId="0" borderId="0" xfId="0" applyFont="1" applyAlignment="1">
      <alignment horizontal="center" vertical="center" wrapText="1"/>
    </xf>
    <xf numFmtId="0" fontId="43" fillId="0" borderId="0" xfId="0" applyFont="1" applyAlignment="1">
      <alignment horizontal="left" vertical="center"/>
    </xf>
    <xf numFmtId="0" fontId="37" fillId="0" borderId="0" xfId="0" applyFont="1" applyAlignment="1">
      <alignment horizontal="left" vertical="center" wrapText="1"/>
    </xf>
    <xf numFmtId="0" fontId="43" fillId="0" borderId="0" xfId="0" applyFont="1" applyAlignment="1">
      <alignment horizontal="center" vertical="center" wrapText="1"/>
    </xf>
    <xf numFmtId="0" fontId="37" fillId="0" borderId="0" xfId="0" applyFont="1" applyAlignment="1">
      <alignment horizontal="center" wrapText="1"/>
    </xf>
    <xf numFmtId="0" fontId="37" fillId="0" borderId="0" xfId="0" applyFont="1" applyAlignment="1">
      <alignment horizontal="left" wrapText="1"/>
    </xf>
    <xf numFmtId="0" fontId="18" fillId="0" borderId="0" xfId="0" applyFont="1" applyAlignment="1">
      <alignment horizontal="left" vertical="center" wrapText="1"/>
    </xf>
  </cellXfs>
  <cellStyles count="3">
    <cellStyle name="Hipervínculo" xfId="1" builtinId="8"/>
    <cellStyle name="Normal" xfId="0" builtinId="0"/>
    <cellStyle name="Título" xfId="2"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54850234236285"/>
          <c:y val="0.14341216356292108"/>
          <c:w val="0.48589618179845134"/>
          <c:h val="0.70748298862337222"/>
        </c:manualLayout>
      </c:layout>
      <c:radarChart>
        <c:radarStyle val="marker"/>
        <c:varyColors val="0"/>
        <c:ser>
          <c:idx val="0"/>
          <c:order val="0"/>
          <c:spPr>
            <a:ln w="44450">
              <a:solidFill>
                <a:schemeClr val="accent1"/>
              </a:solidFill>
            </a:ln>
          </c:spPr>
          <c:marker>
            <c:symbol val="diamond"/>
            <c:size val="10"/>
            <c:spPr>
              <a:solidFill>
                <a:schemeClr val="accent6"/>
              </a:solidFill>
              <a:ln w="38100">
                <a:solidFill>
                  <a:srgbClr val="4F81BD"/>
                </a:solidFill>
              </a:ln>
            </c:spPr>
          </c:marker>
          <c:dLbls>
            <c:dLbl>
              <c:idx val="1"/>
              <c:layout>
                <c:manualLayout>
                  <c:x val="-8.2013730765250842E-2"/>
                  <c:y val="-2.8444442851754733E-3"/>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D5-4D09-9E6A-EF3118DFD85A}"/>
                </c:ext>
              </c:extLst>
            </c:dLbl>
            <c:dLbl>
              <c:idx val="3"/>
              <c:layout>
                <c:manualLayout>
                  <c:x val="3.7101449631899187E-2"/>
                  <c:y val="0"/>
                </c:manualLayout>
              </c:layout>
              <c:spPr/>
              <c:txPr>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D5-4D09-9E6A-EF3118DFD85A}"/>
                </c:ext>
              </c:extLst>
            </c:dLbl>
            <c:spPr>
              <a:noFill/>
              <a:ln w="25400">
                <a:noFill/>
              </a:ln>
            </c:spPr>
            <c:txPr>
              <a:bodyPr wrap="square" lIns="38100" tIns="19050" rIns="38100" bIns="19050" anchor="ctr">
                <a:spAutoFit/>
              </a:bodyPr>
              <a:lstStyle/>
              <a:p>
                <a:pPr>
                  <a:defRPr sz="1200" b="1"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EXPERIENCIA CONCRETA</c:v>
              </c:pt>
              <c:pt idx="1">
                <c:v>OBSERVACIÓN REFLEXIVA</c:v>
              </c:pt>
              <c:pt idx="2">
                <c:v>CONCEPTUALIZACIÓN ABSTRACTA</c:v>
              </c:pt>
              <c:pt idx="3">
                <c:v>EXPERIMEN TACIÓN ACTIVA</c:v>
              </c:pt>
            </c:strLit>
          </c:cat>
          <c:val>
            <c:numLit>
              <c:formatCode>General</c:formatCode>
              <c:ptCount val="4"/>
              <c:pt idx="0">
                <c:v>1</c:v>
              </c:pt>
              <c:pt idx="1">
                <c:v>3</c:v>
              </c:pt>
              <c:pt idx="2">
                <c:v>8</c:v>
              </c:pt>
              <c:pt idx="3">
                <c:v>5</c:v>
              </c:pt>
            </c:numLit>
          </c:val>
          <c:extLst>
            <c:ext xmlns:c16="http://schemas.microsoft.com/office/drawing/2014/chart" uri="{C3380CC4-5D6E-409C-BE32-E72D297353CC}">
              <c16:uniqueId val="{00000002-4BD5-4D09-9E6A-EF3118DFD85A}"/>
            </c:ext>
          </c:extLst>
        </c:ser>
        <c:dLbls>
          <c:showLegendKey val="0"/>
          <c:showVal val="0"/>
          <c:showCatName val="0"/>
          <c:showSerName val="0"/>
          <c:showPercent val="0"/>
          <c:showBubbleSize val="0"/>
        </c:dLbls>
        <c:axId val="190850607"/>
        <c:axId val="1"/>
      </c:radarChart>
      <c:catAx>
        <c:axId val="190850607"/>
        <c:scaling>
          <c:orientation val="minMax"/>
        </c:scaling>
        <c:delete val="0"/>
        <c:axPos val="b"/>
        <c:majorGridlines/>
        <c:numFmt formatCode="General" sourceLinked="1"/>
        <c:majorTickMark val="out"/>
        <c:minorTickMark val="none"/>
        <c:tickLblPos val="nextTo"/>
        <c:txPr>
          <a:bodyPr rot="0" vert="horz"/>
          <a:lstStyle/>
          <a:p>
            <a:pPr>
              <a:defRPr sz="1400" b="1"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minorGridlines/>
        <c:numFmt formatCode="General" sourceLinked="1"/>
        <c:majorTickMark val="none"/>
        <c:minorTickMark val="none"/>
        <c:tickLblPos val="nextTo"/>
        <c:txPr>
          <a:bodyPr rot="0" vert="horz"/>
          <a:lstStyle/>
          <a:p>
            <a:pPr>
              <a:defRPr sz="100" b="0" i="0" u="none" strike="noStrike" baseline="0">
                <a:solidFill>
                  <a:srgbClr val="000000"/>
                </a:solidFill>
                <a:latin typeface="Calibri"/>
                <a:ea typeface="Calibri"/>
                <a:cs typeface="Calibri"/>
              </a:defRPr>
            </a:pPr>
            <a:endParaRPr lang="en-US"/>
          </a:p>
        </c:txPr>
        <c:crossAx val="190850607"/>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10</xdr:col>
      <xdr:colOff>319246</xdr:colOff>
      <xdr:row>23</xdr:row>
      <xdr:rowOff>134144</xdr:rowOff>
    </xdr:from>
    <xdr:to>
      <xdr:col>10</xdr:col>
      <xdr:colOff>1084049</xdr:colOff>
      <xdr:row>23</xdr:row>
      <xdr:rowOff>477302</xdr:rowOff>
    </xdr:to>
    <xdr:sp macro="" textlink="">
      <xdr:nvSpPr>
        <xdr:cNvPr id="3" name="2 Flecha derecha">
          <a:extLst>
            <a:ext uri="{FF2B5EF4-FFF2-40B4-BE49-F238E27FC236}">
              <a16:creationId xmlns:a16="http://schemas.microsoft.com/office/drawing/2014/main" id="{F81A66F9-B43C-2B97-8642-2651A2A64401}"/>
            </a:ext>
          </a:extLst>
        </xdr:cNvPr>
        <xdr:cNvSpPr/>
      </xdr:nvSpPr>
      <xdr:spPr>
        <a:xfrm>
          <a:off x="10339387" y="4098132"/>
          <a:ext cx="757238" cy="4500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135890</xdr:colOff>
      <xdr:row>23</xdr:row>
      <xdr:rowOff>76200</xdr:rowOff>
    </xdr:from>
    <xdr:to>
      <xdr:col>12</xdr:col>
      <xdr:colOff>514819</xdr:colOff>
      <xdr:row>23</xdr:row>
      <xdr:rowOff>227013</xdr:rowOff>
    </xdr:to>
    <xdr:sp macro="" textlink="">
      <xdr:nvSpPr>
        <xdr:cNvPr id="4" name="3 Flecha derecha">
          <a:extLst>
            <a:ext uri="{FF2B5EF4-FFF2-40B4-BE49-F238E27FC236}">
              <a16:creationId xmlns:a16="http://schemas.microsoft.com/office/drawing/2014/main" id="{D567EB57-DBA1-7DDE-F540-FEDA6451D892}"/>
            </a:ext>
          </a:extLst>
        </xdr:cNvPr>
        <xdr:cNvSpPr/>
      </xdr:nvSpPr>
      <xdr:spPr>
        <a:xfrm>
          <a:off x="10858500" y="429577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12</xdr:col>
      <xdr:colOff>135890</xdr:colOff>
      <xdr:row>24</xdr:row>
      <xdr:rowOff>66675</xdr:rowOff>
    </xdr:from>
    <xdr:to>
      <xdr:col>12</xdr:col>
      <xdr:colOff>514819</xdr:colOff>
      <xdr:row>24</xdr:row>
      <xdr:rowOff>219075</xdr:rowOff>
    </xdr:to>
    <xdr:sp macro="" textlink="">
      <xdr:nvSpPr>
        <xdr:cNvPr id="5" name="4 Flecha derecha">
          <a:extLst>
            <a:ext uri="{FF2B5EF4-FFF2-40B4-BE49-F238E27FC236}">
              <a16:creationId xmlns:a16="http://schemas.microsoft.com/office/drawing/2014/main" id="{1B2E5CC6-82ED-46C1-0052-60F436478337}"/>
            </a:ext>
          </a:extLst>
        </xdr:cNvPr>
        <xdr:cNvSpPr/>
      </xdr:nvSpPr>
      <xdr:spPr>
        <a:xfrm>
          <a:off x="10858500" y="4619625"/>
          <a:ext cx="390525" cy="190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twoCellAnchor>
    <xdr:from>
      <xdr:col>9</xdr:col>
      <xdr:colOff>1857375</xdr:colOff>
      <xdr:row>49</xdr:row>
      <xdr:rowOff>0</xdr:rowOff>
    </xdr:from>
    <xdr:to>
      <xdr:col>13</xdr:col>
      <xdr:colOff>1552575</xdr:colOff>
      <xdr:row>65</xdr:row>
      <xdr:rowOff>190500</xdr:rowOff>
    </xdr:to>
    <xdr:graphicFrame macro="">
      <xdr:nvGraphicFramePr>
        <xdr:cNvPr id="1623" name="5 Gráfico">
          <a:extLst>
            <a:ext uri="{FF2B5EF4-FFF2-40B4-BE49-F238E27FC236}">
              <a16:creationId xmlns:a16="http://schemas.microsoft.com/office/drawing/2014/main" id="{47BD8D34-743A-B3F8-F834-AF76FAB88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1256506</xdr:colOff>
      <xdr:row>53</xdr:row>
      <xdr:rowOff>218520</xdr:rowOff>
    </xdr:from>
    <xdr:to>
      <xdr:col>11</xdr:col>
      <xdr:colOff>934782</xdr:colOff>
      <xdr:row>54</xdr:row>
      <xdr:rowOff>260494</xdr:rowOff>
    </xdr:to>
    <xdr:sp macro="" textlink="">
      <xdr:nvSpPr>
        <xdr:cNvPr id="6" name="1 CuadroTexto">
          <a:extLst>
            <a:ext uri="{FF2B5EF4-FFF2-40B4-BE49-F238E27FC236}">
              <a16:creationId xmlns:a16="http://schemas.microsoft.com/office/drawing/2014/main" id="{F16E4073-F5DB-6FA4-0ED6-A1C7F9C77075}"/>
            </a:ext>
          </a:extLst>
        </xdr:cNvPr>
        <xdr:cNvSpPr txBox="1"/>
      </xdr:nvSpPr>
      <xdr:spPr>
        <a:xfrm>
          <a:off x="10507265" y="26818829"/>
          <a:ext cx="1250157" cy="28277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200" b="1"/>
            <a:t>ACOMODADOR</a:t>
          </a:r>
          <a:endParaRPr lang="es-CO" sz="1100" b="1"/>
        </a:p>
      </xdr:txBody>
    </xdr:sp>
    <xdr:clientData/>
  </xdr:twoCellAnchor>
  <xdr:twoCellAnchor>
    <xdr:from>
      <xdr:col>12</xdr:col>
      <xdr:colOff>654843</xdr:colOff>
      <xdr:row>53</xdr:row>
      <xdr:rowOff>194111</xdr:rowOff>
    </xdr:from>
    <xdr:to>
      <xdr:col>12</xdr:col>
      <xdr:colOff>1665512</xdr:colOff>
      <xdr:row>54</xdr:row>
      <xdr:rowOff>191365</xdr:rowOff>
    </xdr:to>
    <xdr:sp macro="" textlink="">
      <xdr:nvSpPr>
        <xdr:cNvPr id="7" name="1 CuadroTexto">
          <a:extLst>
            <a:ext uri="{FF2B5EF4-FFF2-40B4-BE49-F238E27FC236}">
              <a16:creationId xmlns:a16="http://schemas.microsoft.com/office/drawing/2014/main" id="{98C921CA-6C1E-A997-3E03-622B3678E21E}"/>
            </a:ext>
          </a:extLst>
        </xdr:cNvPr>
        <xdr:cNvSpPr txBox="1"/>
      </xdr:nvSpPr>
      <xdr:spPr>
        <a:xfrm>
          <a:off x="12977812" y="26803945"/>
          <a:ext cx="997148" cy="23812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s-CO" sz="1100" b="1"/>
            <a:t>DIVERGENTE</a:t>
          </a:r>
        </a:p>
      </xdr:txBody>
    </xdr:sp>
    <xdr:clientData/>
  </xdr:twoCellAnchor>
  <xdr:twoCellAnchor>
    <xdr:from>
      <xdr:col>8</xdr:col>
      <xdr:colOff>291562</xdr:colOff>
      <xdr:row>56</xdr:row>
      <xdr:rowOff>108017</xdr:rowOff>
    </xdr:from>
    <xdr:to>
      <xdr:col>9</xdr:col>
      <xdr:colOff>668412</xdr:colOff>
      <xdr:row>57</xdr:row>
      <xdr:rowOff>212459</xdr:rowOff>
    </xdr:to>
    <xdr:sp macro="" textlink="">
      <xdr:nvSpPr>
        <xdr:cNvPr id="8" name="7 Flecha derecha">
          <a:extLst>
            <a:ext uri="{FF2B5EF4-FFF2-40B4-BE49-F238E27FC236}">
              <a16:creationId xmlns:a16="http://schemas.microsoft.com/office/drawing/2014/main" id="{B762546E-D902-8633-C565-FB05FE837CA1}"/>
            </a:ext>
          </a:extLst>
        </xdr:cNvPr>
        <xdr:cNvSpPr/>
      </xdr:nvSpPr>
      <xdr:spPr>
        <a:xfrm rot="10800000">
          <a:off x="7307241" y="30451568"/>
          <a:ext cx="757238" cy="33535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s-CO"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pic>
      <cdr:nvPicPr>
        <cdr:cNvPr id="2" name="chart">
          <a:extLst xmlns:a="http://schemas.openxmlformats.org/drawingml/2006/main">
            <a:ext uri="{FF2B5EF4-FFF2-40B4-BE49-F238E27FC236}">
              <a16:creationId xmlns:a16="http://schemas.microsoft.com/office/drawing/2014/main" id="{99305664-51EB-1DB7-FE78-A0F2B50DC0E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0.26104</cdr:x>
      <cdr:y>0.61726</cdr:y>
    </cdr:from>
    <cdr:to>
      <cdr:x>0.38309</cdr:x>
      <cdr:y>0.67337</cdr:y>
    </cdr:to>
    <cdr:sp macro="" textlink="">
      <cdr:nvSpPr>
        <cdr:cNvPr id="3" name="1 CuadroTexto"/>
        <cdr:cNvSpPr txBox="1"/>
      </cdr:nvSpPr>
      <cdr:spPr>
        <a:xfrm xmlns:a="http://schemas.openxmlformats.org/drawingml/2006/main">
          <a:off x="1428750" y="2797969"/>
          <a:ext cx="917673" cy="28541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CONVERGENTE</a:t>
          </a:r>
          <a:endParaRPr lang="es-CO" sz="1100" b="1"/>
        </a:p>
      </cdr:txBody>
    </cdr:sp>
  </cdr:relSizeAnchor>
  <cdr:relSizeAnchor xmlns:cdr="http://schemas.openxmlformats.org/drawingml/2006/chartDrawing">
    <cdr:from>
      <cdr:x>0.58813</cdr:x>
      <cdr:y>0.60538</cdr:y>
    </cdr:from>
    <cdr:to>
      <cdr:x>0.71065</cdr:x>
      <cdr:y>0.66285</cdr:y>
    </cdr:to>
    <cdr:sp macro="" textlink="">
      <cdr:nvSpPr>
        <cdr:cNvPr id="4" name="1 CuadroTexto"/>
        <cdr:cNvSpPr txBox="1"/>
      </cdr:nvSpPr>
      <cdr:spPr>
        <a:xfrm xmlns:a="http://schemas.openxmlformats.org/drawingml/2006/main">
          <a:off x="3899296" y="2738438"/>
          <a:ext cx="907928" cy="28586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s-CO" sz="1200" b="1"/>
            <a:t>ASIMILADOR</a:t>
          </a:r>
          <a:endParaRPr lang="es-CO" sz="1100" b="1"/>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hyperlink" Target="http://www.rmm.cl/index_sub2.php?id_contenido=10497&amp;id_seccion=2816&amp;id_portal=432" TargetMode="Externa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014A-A329-48BB-A6D1-E8A616EDDB54}">
  <dimension ref="A2:P67"/>
  <sheetViews>
    <sheetView showGridLines="0" tabSelected="1" topLeftCell="H1" zoomScale="75" zoomScaleNormal="55" workbookViewId="0">
      <selection activeCell="K10" sqref="K10"/>
    </sheetView>
  </sheetViews>
  <sheetFormatPr defaultRowHeight="22.5" customHeight="1" x14ac:dyDescent="0.2"/>
  <cols>
    <col min="1" max="1" width="4.03515625" customWidth="1"/>
    <col min="2" max="2" width="2.82421875" customWidth="1"/>
    <col min="3" max="3" width="5.51171875" customWidth="1"/>
    <col min="4" max="4" width="25.15234375" customWidth="1"/>
    <col min="5" max="5" width="5.51171875" customWidth="1"/>
    <col min="6" max="6" width="26.90234375" customWidth="1"/>
    <col min="7" max="7" width="5.51171875" customWidth="1"/>
    <col min="8" max="8" width="29.0546875" customWidth="1"/>
    <col min="9" max="9" width="5.51171875" customWidth="1"/>
    <col min="10" max="10" width="25.9609375" customWidth="1"/>
    <col min="11" max="11" width="23.40625" customWidth="1"/>
    <col min="12" max="12" width="22.59765625" customWidth="1"/>
    <col min="13" max="13" width="28.3828125" customWidth="1"/>
    <col min="14" max="14" width="23.40625" customWidth="1"/>
    <col min="15" max="256" width="11.43359375" customWidth="1"/>
  </cols>
  <sheetData>
    <row r="2" spans="2:10" ht="22.5" customHeight="1" x14ac:dyDescent="0.2">
      <c r="B2" s="78" t="s">
        <v>62</v>
      </c>
      <c r="C2" s="78"/>
      <c r="D2" s="78"/>
      <c r="E2" s="78"/>
      <c r="F2" s="78"/>
      <c r="G2" s="78"/>
      <c r="H2" s="78"/>
      <c r="I2" s="78"/>
      <c r="J2" s="78"/>
    </row>
    <row r="3" spans="2:10" ht="22.5" customHeight="1" x14ac:dyDescent="0.2">
      <c r="B3" s="1"/>
      <c r="C3" s="1"/>
      <c r="D3" s="1"/>
      <c r="E3" s="1"/>
      <c r="F3" s="1"/>
      <c r="G3" s="1"/>
      <c r="H3" s="1"/>
      <c r="I3" s="1"/>
      <c r="J3" s="1"/>
    </row>
    <row r="4" spans="2:10" ht="22.5" customHeight="1" x14ac:dyDescent="0.2">
      <c r="B4" s="26"/>
      <c r="C4" s="83" t="s">
        <v>67</v>
      </c>
      <c r="D4" s="84"/>
      <c r="E4" s="80">
        <v>1033101966</v>
      </c>
      <c r="F4" s="81"/>
      <c r="G4" s="85" t="s">
        <v>165</v>
      </c>
      <c r="H4" s="86"/>
      <c r="I4" s="80" t="s">
        <v>171</v>
      </c>
      <c r="J4" s="81"/>
    </row>
    <row r="5" spans="2:10" ht="22.5" customHeight="1" x14ac:dyDescent="0.2">
      <c r="B5" s="27"/>
      <c r="C5" s="83" t="s">
        <v>66</v>
      </c>
      <c r="D5" s="84"/>
      <c r="E5" s="80" t="s">
        <v>173</v>
      </c>
      <c r="F5" s="81"/>
      <c r="G5" s="85" t="s">
        <v>68</v>
      </c>
      <c r="H5" s="86"/>
      <c r="I5" s="82">
        <v>46066</v>
      </c>
      <c r="J5" s="81"/>
    </row>
    <row r="6" spans="2:10" ht="22.5" customHeight="1" x14ac:dyDescent="0.2">
      <c r="B6" s="27"/>
      <c r="C6" s="83"/>
      <c r="D6" s="84"/>
      <c r="E6" s="87"/>
      <c r="F6" s="88"/>
      <c r="G6" s="85" t="s">
        <v>69</v>
      </c>
      <c r="H6" s="86"/>
      <c r="I6" s="80">
        <v>18</v>
      </c>
      <c r="J6" s="81"/>
    </row>
    <row r="7" spans="2:10" ht="22.5" customHeight="1" x14ac:dyDescent="0.2">
      <c r="B7" s="1"/>
      <c r="C7" s="1"/>
      <c r="D7" s="1"/>
      <c r="E7" s="1"/>
      <c r="F7" s="1"/>
      <c r="G7" s="1"/>
      <c r="H7" s="1"/>
      <c r="I7" s="1"/>
      <c r="J7" s="1"/>
    </row>
    <row r="8" spans="2:10" ht="36.75" customHeight="1" x14ac:dyDescent="0.2">
      <c r="B8" s="77" t="s">
        <v>65</v>
      </c>
      <c r="C8" s="77"/>
      <c r="D8" s="77"/>
      <c r="E8" s="77"/>
      <c r="F8" s="77"/>
      <c r="G8" s="77"/>
      <c r="H8" s="77"/>
      <c r="I8" s="77"/>
      <c r="J8" s="77"/>
    </row>
    <row r="9" spans="2:10" ht="22.5" customHeight="1" x14ac:dyDescent="0.2">
      <c r="B9" s="2"/>
      <c r="C9" s="2"/>
      <c r="D9" s="2"/>
      <c r="E9" s="2"/>
      <c r="F9" s="2"/>
      <c r="G9" s="2"/>
      <c r="H9" s="2"/>
      <c r="I9" s="2"/>
      <c r="J9" s="2"/>
    </row>
    <row r="10" spans="2:10" ht="39.75" customHeight="1" x14ac:dyDescent="0.2">
      <c r="B10" s="44"/>
      <c r="C10" s="45">
        <v>4</v>
      </c>
      <c r="D10" s="79" t="s">
        <v>8</v>
      </c>
      <c r="E10" s="79"/>
      <c r="F10" s="79"/>
      <c r="G10" s="44"/>
      <c r="H10" s="44"/>
      <c r="I10" s="44"/>
      <c r="J10" s="44"/>
    </row>
    <row r="11" spans="2:10" ht="34.5" customHeight="1" x14ac:dyDescent="0.2">
      <c r="B11" s="44"/>
      <c r="C11" s="45">
        <v>3</v>
      </c>
      <c r="D11" s="79" t="s">
        <v>9</v>
      </c>
      <c r="E11" s="79"/>
      <c r="F11" s="79"/>
      <c r="G11" s="44"/>
      <c r="H11" s="44"/>
      <c r="I11" s="44"/>
      <c r="J11" s="44"/>
    </row>
    <row r="12" spans="2:10" ht="36.75" customHeight="1" x14ac:dyDescent="0.2">
      <c r="B12" s="44"/>
      <c r="C12" s="45">
        <v>2</v>
      </c>
      <c r="D12" s="79" t="s">
        <v>9</v>
      </c>
      <c r="E12" s="79"/>
      <c r="F12" s="79"/>
      <c r="G12" s="44"/>
      <c r="H12" s="44"/>
      <c r="I12" s="44"/>
      <c r="J12" s="44"/>
    </row>
    <row r="13" spans="2:10" ht="34.5" customHeight="1" x14ac:dyDescent="0.2">
      <c r="B13" s="44"/>
      <c r="C13" s="45">
        <v>1</v>
      </c>
      <c r="D13" s="79" t="s">
        <v>10</v>
      </c>
      <c r="E13" s="79"/>
      <c r="F13" s="79"/>
      <c r="G13" s="44"/>
      <c r="H13" s="44"/>
      <c r="I13" s="44"/>
      <c r="J13" s="44"/>
    </row>
    <row r="14" spans="2:10" ht="34.5" customHeight="1" x14ac:dyDescent="0.2">
      <c r="B14" s="44"/>
      <c r="C14" s="46"/>
      <c r="D14" s="47"/>
      <c r="E14" s="47"/>
      <c r="F14" s="47"/>
      <c r="G14" s="44"/>
      <c r="H14" s="44"/>
      <c r="I14" s="44"/>
      <c r="J14" s="44"/>
    </row>
    <row r="15" spans="2:10" ht="34.5" customHeight="1" x14ac:dyDescent="0.2">
      <c r="B15" s="95" t="s">
        <v>75</v>
      </c>
      <c r="C15" s="77"/>
      <c r="D15" s="77"/>
      <c r="E15" s="77"/>
      <c r="F15" s="77"/>
      <c r="G15" s="77"/>
      <c r="H15" s="77"/>
      <c r="I15" s="77"/>
      <c r="J15" s="77"/>
    </row>
    <row r="16" spans="2:10" ht="39.75" customHeight="1" x14ac:dyDescent="0.2">
      <c r="B16" s="100" t="s">
        <v>63</v>
      </c>
      <c r="C16" s="100"/>
      <c r="D16" s="100"/>
      <c r="E16" s="100"/>
      <c r="F16" s="100"/>
      <c r="G16" s="100"/>
      <c r="H16" s="100"/>
      <c r="I16" s="100"/>
      <c r="J16" s="100"/>
    </row>
    <row r="17" spans="2:16" ht="84" customHeight="1" x14ac:dyDescent="0.2">
      <c r="B17" s="100" t="s">
        <v>64</v>
      </c>
      <c r="C17" s="100"/>
      <c r="D17" s="100"/>
      <c r="E17" s="100"/>
      <c r="F17" s="100"/>
      <c r="G17" s="100"/>
      <c r="H17" s="100"/>
      <c r="I17" s="100"/>
      <c r="J17" s="100"/>
    </row>
    <row r="18" spans="2:16" ht="22.5" customHeight="1" x14ac:dyDescent="0.2">
      <c r="B18" s="48"/>
      <c r="C18" s="48"/>
      <c r="D18" s="48"/>
      <c r="E18" s="48"/>
      <c r="F18" s="48"/>
      <c r="G18" s="48"/>
      <c r="H18" s="48"/>
      <c r="I18" s="48"/>
      <c r="J18" s="48"/>
    </row>
    <row r="19" spans="2:16" ht="22.5" customHeight="1" x14ac:dyDescent="0.2">
      <c r="B19" s="77" t="s">
        <v>0</v>
      </c>
      <c r="C19" s="77"/>
      <c r="D19" s="77"/>
      <c r="E19" s="77"/>
      <c r="F19" s="77"/>
      <c r="G19" s="77"/>
      <c r="H19" s="77"/>
      <c r="I19" s="77"/>
      <c r="J19" s="77"/>
    </row>
    <row r="20" spans="2:16" ht="22.5" customHeight="1" x14ac:dyDescent="0.2">
      <c r="B20" s="77"/>
      <c r="C20" s="77"/>
      <c r="D20" s="77"/>
      <c r="E20" s="77"/>
      <c r="F20" s="77"/>
      <c r="G20" s="77"/>
      <c r="H20" s="77"/>
      <c r="I20" s="77"/>
      <c r="J20" s="77"/>
    </row>
    <row r="21" spans="2:16" ht="22.5" customHeight="1" x14ac:dyDescent="0.3">
      <c r="B21" s="63"/>
      <c r="C21" s="64"/>
      <c r="D21" s="63"/>
      <c r="E21" s="63"/>
      <c r="F21" s="63"/>
      <c r="G21" s="63"/>
      <c r="H21" s="63"/>
      <c r="I21" s="63"/>
      <c r="J21" s="63"/>
    </row>
    <row r="22" spans="2:16" ht="22.5" customHeight="1" thickBot="1" x14ac:dyDescent="0.25"/>
    <row r="23" spans="2:16" ht="41.25" x14ac:dyDescent="0.2">
      <c r="C23" s="101" t="s">
        <v>4</v>
      </c>
      <c r="D23" s="102"/>
      <c r="E23" s="102" t="s">
        <v>5</v>
      </c>
      <c r="F23" s="102"/>
      <c r="G23" s="102" t="s">
        <v>6</v>
      </c>
      <c r="H23" s="102"/>
      <c r="I23" s="102" t="s">
        <v>7</v>
      </c>
      <c r="J23" s="103"/>
      <c r="K23" s="19"/>
      <c r="L23" s="20" t="s">
        <v>11</v>
      </c>
      <c r="M23" s="19"/>
      <c r="N23" s="19"/>
      <c r="O23" s="7"/>
    </row>
    <row r="24" spans="2:16" ht="45" customHeight="1" x14ac:dyDescent="0.2">
      <c r="B24" s="76">
        <v>1</v>
      </c>
      <c r="C24" s="75">
        <v>3</v>
      </c>
      <c r="D24" s="74" t="s">
        <v>30</v>
      </c>
      <c r="E24" s="75">
        <v>4</v>
      </c>
      <c r="F24" s="74" t="s">
        <v>170</v>
      </c>
      <c r="G24" s="75">
        <v>3</v>
      </c>
      <c r="H24" s="74" t="s">
        <v>31</v>
      </c>
      <c r="I24" s="75">
        <v>2</v>
      </c>
      <c r="J24" s="74" t="s">
        <v>32</v>
      </c>
      <c r="K24" s="19"/>
      <c r="L24" s="21" t="s">
        <v>12</v>
      </c>
      <c r="M24" s="19"/>
      <c r="N24" s="21" t="s">
        <v>13</v>
      </c>
      <c r="O24" s="7"/>
      <c r="P24" s="7"/>
    </row>
    <row r="25" spans="2:16" ht="114" customHeight="1" x14ac:dyDescent="0.2">
      <c r="B25" s="76"/>
      <c r="C25" s="75"/>
      <c r="D25" s="74" t="s">
        <v>1</v>
      </c>
      <c r="E25" s="75"/>
      <c r="F25" s="74"/>
      <c r="G25" s="75"/>
      <c r="H25" s="74"/>
      <c r="I25" s="75"/>
      <c r="J25" s="74"/>
      <c r="K25" s="19"/>
      <c r="L25" s="21" t="s">
        <v>14</v>
      </c>
      <c r="M25" s="19"/>
      <c r="N25" s="21" t="s">
        <v>15</v>
      </c>
    </row>
    <row r="26" spans="2:16" ht="15" customHeight="1" x14ac:dyDescent="0.2">
      <c r="B26" s="76">
        <v>2</v>
      </c>
      <c r="C26" s="75">
        <v>4</v>
      </c>
      <c r="D26" s="74" t="s">
        <v>166</v>
      </c>
      <c r="E26" s="75">
        <v>3</v>
      </c>
      <c r="F26" s="74" t="s">
        <v>33</v>
      </c>
      <c r="G26" s="75">
        <v>4</v>
      </c>
      <c r="H26" s="74" t="s">
        <v>38</v>
      </c>
      <c r="I26" s="75">
        <v>4</v>
      </c>
      <c r="J26" s="74" t="s">
        <v>35</v>
      </c>
    </row>
    <row r="27" spans="2:16" ht="112.5" customHeight="1" x14ac:dyDescent="0.2">
      <c r="B27" s="76"/>
      <c r="C27" s="75"/>
      <c r="D27" s="74" t="s">
        <v>2</v>
      </c>
      <c r="E27" s="75"/>
      <c r="F27" s="74"/>
      <c r="G27" s="75"/>
      <c r="H27" s="74"/>
      <c r="I27" s="75"/>
      <c r="J27" s="74"/>
    </row>
    <row r="28" spans="2:16" ht="22.5" customHeight="1" x14ac:dyDescent="0.2">
      <c r="B28" s="76">
        <v>3</v>
      </c>
      <c r="C28" s="75">
        <v>3</v>
      </c>
      <c r="D28" s="74" t="s">
        <v>34</v>
      </c>
      <c r="E28" s="75">
        <v>2</v>
      </c>
      <c r="F28" s="74" t="s">
        <v>36</v>
      </c>
      <c r="G28" s="75">
        <v>4</v>
      </c>
      <c r="H28" s="74" t="s">
        <v>37</v>
      </c>
      <c r="I28" s="75">
        <v>4</v>
      </c>
      <c r="J28" s="74" t="s">
        <v>39</v>
      </c>
    </row>
    <row r="29" spans="2:16" ht="106.5" customHeight="1" x14ac:dyDescent="0.2">
      <c r="B29" s="76"/>
      <c r="C29" s="75"/>
      <c r="D29" s="74" t="s">
        <v>3</v>
      </c>
      <c r="E29" s="75"/>
      <c r="F29" s="74"/>
      <c r="G29" s="75"/>
      <c r="H29" s="74"/>
      <c r="I29" s="75"/>
      <c r="J29" s="74"/>
    </row>
    <row r="30" spans="2:16" ht="22.5" customHeight="1" x14ac:dyDescent="0.2">
      <c r="B30" s="76">
        <v>4</v>
      </c>
      <c r="C30" s="75">
        <v>4</v>
      </c>
      <c r="D30" s="74" t="s">
        <v>74</v>
      </c>
      <c r="E30" s="75">
        <v>2</v>
      </c>
      <c r="F30" s="74" t="s">
        <v>40</v>
      </c>
      <c r="G30" s="75">
        <v>3</v>
      </c>
      <c r="H30" s="74" t="s">
        <v>41</v>
      </c>
      <c r="I30" s="75">
        <v>3</v>
      </c>
      <c r="J30" s="74" t="s">
        <v>42</v>
      </c>
    </row>
    <row r="31" spans="2:16" ht="155.25" customHeight="1" x14ac:dyDescent="0.2">
      <c r="B31" s="76"/>
      <c r="C31" s="75"/>
      <c r="D31" s="74"/>
      <c r="E31" s="75"/>
      <c r="F31" s="74"/>
      <c r="G31" s="75"/>
      <c r="H31" s="74"/>
      <c r="I31" s="75"/>
      <c r="J31" s="74"/>
    </row>
    <row r="32" spans="2:16" ht="22.5" customHeight="1" x14ac:dyDescent="0.2">
      <c r="B32" s="76">
        <v>5</v>
      </c>
      <c r="C32" s="75">
        <v>1</v>
      </c>
      <c r="D32" s="74" t="s">
        <v>43</v>
      </c>
      <c r="E32" s="75">
        <v>3</v>
      </c>
      <c r="F32" s="74" t="s">
        <v>44</v>
      </c>
      <c r="G32" s="75">
        <v>4</v>
      </c>
      <c r="H32" s="74" t="s">
        <v>45</v>
      </c>
      <c r="I32" s="75">
        <v>3</v>
      </c>
      <c r="J32" s="74" t="s">
        <v>46</v>
      </c>
    </row>
    <row r="33" spans="1:14" ht="99.75" customHeight="1" x14ac:dyDescent="0.2">
      <c r="B33" s="76"/>
      <c r="C33" s="75"/>
      <c r="D33" s="74"/>
      <c r="E33" s="75"/>
      <c r="F33" s="74"/>
      <c r="G33" s="75"/>
      <c r="H33" s="74"/>
      <c r="I33" s="75"/>
      <c r="J33" s="74"/>
    </row>
    <row r="34" spans="1:14" ht="22.5" customHeight="1" x14ac:dyDescent="0.2">
      <c r="B34" s="76">
        <v>6</v>
      </c>
      <c r="C34" s="75">
        <v>2</v>
      </c>
      <c r="D34" s="74" t="s">
        <v>47</v>
      </c>
      <c r="E34" s="75">
        <v>3</v>
      </c>
      <c r="F34" s="74" t="s">
        <v>48</v>
      </c>
      <c r="G34" s="75">
        <v>3</v>
      </c>
      <c r="H34" s="74" t="s">
        <v>49</v>
      </c>
      <c r="I34" s="75">
        <v>4</v>
      </c>
      <c r="J34" s="74" t="s">
        <v>50</v>
      </c>
    </row>
    <row r="35" spans="1:14" ht="144" customHeight="1" x14ac:dyDescent="0.2">
      <c r="B35" s="76"/>
      <c r="C35" s="75"/>
      <c r="D35" s="74"/>
      <c r="E35" s="75"/>
      <c r="F35" s="74"/>
      <c r="G35" s="75"/>
      <c r="H35" s="74"/>
      <c r="I35" s="75"/>
      <c r="J35" s="74"/>
    </row>
    <row r="36" spans="1:14" ht="22.5" customHeight="1" x14ac:dyDescent="0.2">
      <c r="B36" s="76">
        <v>7</v>
      </c>
      <c r="C36" s="75">
        <v>2</v>
      </c>
      <c r="D36" s="74" t="s">
        <v>51</v>
      </c>
      <c r="E36" s="75">
        <v>3</v>
      </c>
      <c r="F36" s="74" t="s">
        <v>52</v>
      </c>
      <c r="G36" s="75">
        <v>3</v>
      </c>
      <c r="H36" s="74" t="s">
        <v>53</v>
      </c>
      <c r="I36" s="75">
        <v>2</v>
      </c>
      <c r="J36" s="74" t="s">
        <v>54</v>
      </c>
    </row>
    <row r="37" spans="1:14" ht="141.75" customHeight="1" x14ac:dyDescent="0.2">
      <c r="B37" s="76"/>
      <c r="C37" s="75"/>
      <c r="D37" s="74"/>
      <c r="E37" s="75"/>
      <c r="F37" s="74"/>
      <c r="G37" s="75"/>
      <c r="H37" s="74"/>
      <c r="I37" s="75"/>
      <c r="J37" s="74"/>
    </row>
    <row r="38" spans="1:14" ht="22.5" customHeight="1" x14ac:dyDescent="0.2">
      <c r="B38" s="76">
        <v>8</v>
      </c>
      <c r="C38" s="75">
        <v>4</v>
      </c>
      <c r="D38" s="74" t="s">
        <v>55</v>
      </c>
      <c r="E38" s="75">
        <v>3</v>
      </c>
      <c r="F38" s="74" t="s">
        <v>56</v>
      </c>
      <c r="G38" s="75">
        <v>3</v>
      </c>
      <c r="H38" s="74" t="s">
        <v>57</v>
      </c>
      <c r="I38" s="75">
        <v>4</v>
      </c>
      <c r="J38" s="74" t="s">
        <v>58</v>
      </c>
    </row>
    <row r="39" spans="1:14" ht="127.5" customHeight="1" x14ac:dyDescent="0.2">
      <c r="B39" s="76"/>
      <c r="C39" s="75"/>
      <c r="D39" s="74"/>
      <c r="E39" s="75"/>
      <c r="F39" s="74"/>
      <c r="G39" s="75"/>
      <c r="H39" s="74"/>
      <c r="I39" s="75"/>
      <c r="J39" s="74"/>
    </row>
    <row r="40" spans="1:14" ht="22.5" customHeight="1" x14ac:dyDescent="0.2">
      <c r="B40" s="76">
        <v>9</v>
      </c>
      <c r="C40" s="75">
        <v>4</v>
      </c>
      <c r="D40" s="74" t="s">
        <v>73</v>
      </c>
      <c r="E40" s="75">
        <v>4</v>
      </c>
      <c r="F40" s="74" t="s">
        <v>59</v>
      </c>
      <c r="G40" s="75">
        <v>4</v>
      </c>
      <c r="H40" s="74" t="s">
        <v>60</v>
      </c>
      <c r="I40" s="75">
        <v>3</v>
      </c>
      <c r="J40" s="74" t="s">
        <v>61</v>
      </c>
    </row>
    <row r="41" spans="1:14" ht="150.75" customHeight="1" x14ac:dyDescent="0.2">
      <c r="B41" s="76"/>
      <c r="C41" s="75"/>
      <c r="D41" s="74"/>
      <c r="E41" s="75"/>
      <c r="F41" s="74"/>
      <c r="G41" s="75"/>
      <c r="H41" s="74"/>
      <c r="I41" s="75"/>
      <c r="J41" s="74"/>
    </row>
    <row r="42" spans="1:14" ht="15" x14ac:dyDescent="0.2"/>
    <row r="43" spans="1:14" s="28" customFormat="1" ht="15" x14ac:dyDescent="0.2">
      <c r="A43" s="96" t="s">
        <v>70</v>
      </c>
      <c r="B43" s="96"/>
      <c r="C43" s="29">
        <f>+C26+C28+C30+C32+C36+C38</f>
        <v>18</v>
      </c>
      <c r="D43" s="30"/>
      <c r="E43" s="30">
        <f>+E24+E28+E34+E36+E38+E40</f>
        <v>19</v>
      </c>
      <c r="F43" s="30"/>
      <c r="G43" s="30">
        <f>+G26+G28+G30+G32+G38+G40</f>
        <v>22</v>
      </c>
      <c r="H43" s="30"/>
      <c r="I43" s="30">
        <f>+I24+I28+I34+I36+I38+I40</f>
        <v>19</v>
      </c>
    </row>
    <row r="44" spans="1:14" s="6" customFormat="1" ht="15" x14ac:dyDescent="0.2">
      <c r="B44" s="3"/>
      <c r="C44" s="23"/>
      <c r="D44" s="22"/>
      <c r="E44" s="4"/>
      <c r="F44" s="22"/>
      <c r="G44" s="4"/>
      <c r="H44" s="22"/>
      <c r="I44" s="4"/>
    </row>
    <row r="45" spans="1:14" ht="30" customHeight="1" x14ac:dyDescent="0.25">
      <c r="D45" s="97" t="s">
        <v>16</v>
      </c>
      <c r="E45" s="98"/>
      <c r="F45" s="99"/>
      <c r="G45" s="32" t="s">
        <v>17</v>
      </c>
      <c r="H45" s="31">
        <f>G43-C43</f>
        <v>4</v>
      </c>
    </row>
    <row r="46" spans="1:14" ht="30.75" customHeight="1" x14ac:dyDescent="0.25">
      <c r="D46" s="97" t="s">
        <v>18</v>
      </c>
      <c r="E46" s="98"/>
      <c r="F46" s="99"/>
      <c r="G46" s="32" t="s">
        <v>19</v>
      </c>
      <c r="H46" s="31">
        <f>+I43-E43</f>
        <v>0</v>
      </c>
    </row>
    <row r="47" spans="1:14" ht="15" x14ac:dyDescent="0.2"/>
    <row r="48" spans="1:14" ht="27" x14ac:dyDescent="0.2">
      <c r="J48" s="33"/>
      <c r="K48" s="36" t="s">
        <v>71</v>
      </c>
      <c r="L48" s="36" t="s">
        <v>5</v>
      </c>
      <c r="M48" s="36" t="s">
        <v>6</v>
      </c>
      <c r="N48" s="36" t="s">
        <v>72</v>
      </c>
    </row>
    <row r="49" spans="2:14" ht="15" x14ac:dyDescent="0.2">
      <c r="B49" s="93"/>
      <c r="C49" s="94"/>
      <c r="D49" s="94"/>
      <c r="E49" s="94"/>
      <c r="J49" s="33"/>
      <c r="K49" s="37">
        <f>C43</f>
        <v>18</v>
      </c>
      <c r="L49" s="38">
        <f>E43</f>
        <v>19</v>
      </c>
      <c r="M49" s="39">
        <f>G43</f>
        <v>22</v>
      </c>
      <c r="N49" s="40">
        <f>I43</f>
        <v>19</v>
      </c>
    </row>
    <row r="50" spans="2:14" ht="15" x14ac:dyDescent="0.2">
      <c r="J50" s="34"/>
      <c r="K50" s="34"/>
      <c r="L50" s="34"/>
      <c r="M50" s="34"/>
      <c r="N50" s="33"/>
    </row>
    <row r="51" spans="2:14" ht="18.75" x14ac:dyDescent="0.25">
      <c r="D51" s="9" t="s">
        <v>27</v>
      </c>
      <c r="E51" s="8"/>
      <c r="F51" s="41" t="str">
        <f>IF(H45&gt;=3,"ASIMILADOR",IF(H45=18,"ASIMILADOR"," "))</f>
        <v>ASIMILADOR</v>
      </c>
      <c r="G51" s="10"/>
      <c r="H51" s="89" t="str">
        <f>IF(F51&lt;&gt;"ASIMILADOR","",IF(F52&lt;&gt;"ASIMILADOR","","ASIMILADOR"))</f>
        <v>ASIMILADOR</v>
      </c>
      <c r="J51" s="35"/>
      <c r="K51" s="35"/>
      <c r="L51" s="35"/>
      <c r="M51" s="35"/>
      <c r="N51" s="33"/>
    </row>
    <row r="52" spans="2:14" ht="26.25" x14ac:dyDescent="0.25">
      <c r="D52" s="11" t="s">
        <v>28</v>
      </c>
      <c r="E52" s="8"/>
      <c r="F52" s="41" t="str">
        <f>IF(H46&lt;=2,"ASIMILADOR",IF(H46=-11,"ASIMILADOR"," "))</f>
        <v>ASIMILADOR</v>
      </c>
      <c r="G52" s="10"/>
      <c r="H52" s="89"/>
    </row>
    <row r="53" spans="2:14" ht="18.75" x14ac:dyDescent="0.25">
      <c r="D53" s="8"/>
      <c r="E53" s="8"/>
      <c r="F53" s="42"/>
      <c r="G53" s="10"/>
      <c r="H53" s="18"/>
    </row>
    <row r="54" spans="2:14" ht="18.75" x14ac:dyDescent="0.25">
      <c r="D54" s="12" t="s">
        <v>25</v>
      </c>
      <c r="E54" s="8"/>
      <c r="F54" s="41" t="str">
        <f>IF(H45&gt;=3,"CONVERGENTE",IF(H45=18,"CONVERGENTE"," "))</f>
        <v>CONVERGENTE</v>
      </c>
      <c r="G54" s="10"/>
      <c r="H54" s="90" t="str">
        <f>IF(F54&lt;&gt;"CONVERGENTE","",IF(F55&lt;&gt;"CONVERGENTE","","CONVERGENTE "))</f>
        <v/>
      </c>
    </row>
    <row r="55" spans="2:14" ht="26.25" x14ac:dyDescent="0.25">
      <c r="D55" s="13" t="s">
        <v>26</v>
      </c>
      <c r="E55" s="8"/>
      <c r="F55" s="41" t="str">
        <f>IF(H46&gt;=3,"CONVERGENTE",IF(H46=17,"CONVERGENTE"," "))</f>
        <v xml:space="preserve"> </v>
      </c>
      <c r="G55" s="10"/>
      <c r="H55" s="90"/>
    </row>
    <row r="56" spans="2:14" ht="18.75" x14ac:dyDescent="0.25">
      <c r="D56" s="8"/>
      <c r="E56" s="8"/>
      <c r="F56" s="42"/>
      <c r="G56" s="10"/>
      <c r="H56" s="18"/>
    </row>
    <row r="57" spans="2:14" ht="18.75" x14ac:dyDescent="0.25">
      <c r="D57" s="14" t="s">
        <v>23</v>
      </c>
      <c r="E57" s="8"/>
      <c r="F57" s="41" t="str">
        <f>IF(H45&lt;=2,"DIVERGENTE",IF(H45=-12,"DIVERGENTE"," "))</f>
        <v xml:space="preserve"> </v>
      </c>
      <c r="G57" s="10"/>
      <c r="H57" s="91" t="str">
        <f>IF(F57&lt;&gt;"DIVERGENTE","",IF(F58&lt;&gt;"DIVERGENTE","","DIVERGENTE "))</f>
        <v/>
      </c>
    </row>
    <row r="58" spans="2:14" ht="26.25" x14ac:dyDescent="0.25">
      <c r="D58" s="15" t="s">
        <v>24</v>
      </c>
      <c r="E58" s="8"/>
      <c r="F58" s="41" t="str">
        <f>IF(H46&lt;=2,"DIVERGENTE",IF(H46=-12,"DIVERGENTE"," "))</f>
        <v>DIVERGENTE</v>
      </c>
      <c r="G58" s="10"/>
      <c r="H58" s="91"/>
    </row>
    <row r="59" spans="2:14" ht="18.75" x14ac:dyDescent="0.25">
      <c r="D59" s="8"/>
      <c r="E59" s="8"/>
      <c r="F59" s="42"/>
      <c r="G59" s="10"/>
      <c r="H59" s="18"/>
    </row>
    <row r="60" spans="2:14" ht="74.25" x14ac:dyDescent="0.25">
      <c r="D60" s="16" t="s">
        <v>20</v>
      </c>
      <c r="E60" s="8"/>
      <c r="F60" s="41" t="str">
        <f>IF(H45&lt;=2,"ACOMODADOR",IF(H45=-12,"ACOMODADOR"," "))</f>
        <v xml:space="preserve"> </v>
      </c>
      <c r="G60" s="10"/>
      <c r="H60" s="92" t="str">
        <f>IF(F60&lt;&gt;"ACOMODADOR","",IF(F61&lt;&gt;"ACOMODADOR","","ACOMODADOR"))</f>
        <v/>
      </c>
      <c r="J60" s="62" t="s">
        <v>164</v>
      </c>
    </row>
    <row r="61" spans="2:14" ht="26.25" x14ac:dyDescent="0.25">
      <c r="D61" s="17" t="s">
        <v>21</v>
      </c>
      <c r="E61" s="8"/>
      <c r="F61" s="41" t="str">
        <f>IF(H46&gt;=3,"ACOMODADOR",IF(H46=17,"ACOMODADOR"," "))</f>
        <v xml:space="preserve"> </v>
      </c>
      <c r="G61" s="10"/>
      <c r="H61" s="92"/>
    </row>
    <row r="62" spans="2:14" ht="15" x14ac:dyDescent="0.2"/>
    <row r="64" spans="2:14" ht="45" customHeight="1" x14ac:dyDescent="0.25">
      <c r="H64" s="62"/>
    </row>
    <row r="67" spans="8:8" ht="22.5" customHeight="1" x14ac:dyDescent="0.25">
      <c r="H67" s="61"/>
    </row>
  </sheetData>
  <sheetProtection password="CC7C" sheet="1"/>
  <mergeCells count="115">
    <mergeCell ref="H51:H52"/>
    <mergeCell ref="H54:H55"/>
    <mergeCell ref="H57:H58"/>
    <mergeCell ref="H60:H61"/>
    <mergeCell ref="B49:E49"/>
    <mergeCell ref="B15:J15"/>
    <mergeCell ref="B19:J20"/>
    <mergeCell ref="H30:H31"/>
    <mergeCell ref="A43:B43"/>
    <mergeCell ref="D45:F45"/>
    <mergeCell ref="D46:F46"/>
    <mergeCell ref="B16:J16"/>
    <mergeCell ref="B17:J17"/>
    <mergeCell ref="J30:J31"/>
    <mergeCell ref="H38:H39"/>
    <mergeCell ref="C23:D23"/>
    <mergeCell ref="E23:F23"/>
    <mergeCell ref="G23:H23"/>
    <mergeCell ref="H26:H27"/>
    <mergeCell ref="I23:J23"/>
    <mergeCell ref="H24:H25"/>
    <mergeCell ref="J24:J25"/>
    <mergeCell ref="G24:G25"/>
    <mergeCell ref="C24:C25"/>
    <mergeCell ref="B8:J8"/>
    <mergeCell ref="B2:J2"/>
    <mergeCell ref="D10:F10"/>
    <mergeCell ref="D11:F11"/>
    <mergeCell ref="D12:F12"/>
    <mergeCell ref="D13:F13"/>
    <mergeCell ref="E5:F5"/>
    <mergeCell ref="I4:J4"/>
    <mergeCell ref="I5:J5"/>
    <mergeCell ref="I6:J6"/>
    <mergeCell ref="E4:F4"/>
    <mergeCell ref="C4:D4"/>
    <mergeCell ref="C5:D5"/>
    <mergeCell ref="G4:H4"/>
    <mergeCell ref="G5:H5"/>
    <mergeCell ref="G6:H6"/>
    <mergeCell ref="C6:D6"/>
    <mergeCell ref="E6:F6"/>
    <mergeCell ref="E24:E25"/>
    <mergeCell ref="I26:I27"/>
    <mergeCell ref="I24:I25"/>
    <mergeCell ref="B24:B25"/>
    <mergeCell ref="D24:D25"/>
    <mergeCell ref="J26:J27"/>
    <mergeCell ref="F28:F29"/>
    <mergeCell ref="G28:G29"/>
    <mergeCell ref="H28:H29"/>
    <mergeCell ref="F26:F27"/>
    <mergeCell ref="G26:G27"/>
    <mergeCell ref="I28:I29"/>
    <mergeCell ref="J28:J29"/>
    <mergeCell ref="B28:B29"/>
    <mergeCell ref="C28:C29"/>
    <mergeCell ref="D28:D29"/>
    <mergeCell ref="E28:E29"/>
    <mergeCell ref="B26:B27"/>
    <mergeCell ref="C26:C27"/>
    <mergeCell ref="D26:D27"/>
    <mergeCell ref="E26:E27"/>
    <mergeCell ref="F24:F25"/>
    <mergeCell ref="I30:I31"/>
    <mergeCell ref="B32:B33"/>
    <mergeCell ref="C32:C33"/>
    <mergeCell ref="D32:D33"/>
    <mergeCell ref="E32:E33"/>
    <mergeCell ref="F32:F33"/>
    <mergeCell ref="G32:G33"/>
    <mergeCell ref="H32:H33"/>
    <mergeCell ref="I32:I33"/>
    <mergeCell ref="B30:B31"/>
    <mergeCell ref="C30:C31"/>
    <mergeCell ref="D30:D31"/>
    <mergeCell ref="E30:E31"/>
    <mergeCell ref="F30:F31"/>
    <mergeCell ref="G30:G31"/>
    <mergeCell ref="D36:D37"/>
    <mergeCell ref="E36:E37"/>
    <mergeCell ref="F36:F37"/>
    <mergeCell ref="G36:G37"/>
    <mergeCell ref="J32:J33"/>
    <mergeCell ref="B34:B35"/>
    <mergeCell ref="C34:C35"/>
    <mergeCell ref="D34:D35"/>
    <mergeCell ref="E34:E35"/>
    <mergeCell ref="F34:F35"/>
    <mergeCell ref="G34:G35"/>
    <mergeCell ref="J34:J35"/>
    <mergeCell ref="I34:I35"/>
    <mergeCell ref="H34:H35"/>
    <mergeCell ref="H36:H37"/>
    <mergeCell ref="I36:I37"/>
    <mergeCell ref="J36:J37"/>
    <mergeCell ref="B36:B37"/>
    <mergeCell ref="C36:C37"/>
    <mergeCell ref="J40:J41"/>
    <mergeCell ref="I38:I39"/>
    <mergeCell ref="J38:J39"/>
    <mergeCell ref="B40:B41"/>
    <mergeCell ref="C40:C41"/>
    <mergeCell ref="D40:D41"/>
    <mergeCell ref="E40:E41"/>
    <mergeCell ref="F40:F41"/>
    <mergeCell ref="G40:G41"/>
    <mergeCell ref="H40:H41"/>
    <mergeCell ref="I40:I41"/>
    <mergeCell ref="B38:B39"/>
    <mergeCell ref="C38:C39"/>
    <mergeCell ref="D38:D39"/>
    <mergeCell ref="E38:E39"/>
    <mergeCell ref="F38:F39"/>
    <mergeCell ref="G38:G39"/>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3D5F-137F-42FF-BCE0-00A4FA367D85}">
  <dimension ref="A1:J113"/>
  <sheetViews>
    <sheetView showGridLines="0" topLeftCell="A28" zoomScale="112" zoomScaleNormal="112" workbookViewId="0">
      <selection activeCell="A96" sqref="A96:D96"/>
    </sheetView>
  </sheetViews>
  <sheetFormatPr defaultRowHeight="15" x14ac:dyDescent="0.2"/>
  <cols>
    <col min="1" max="1" width="19.50390625" customWidth="1"/>
    <col min="2" max="2" width="11.43359375" customWidth="1"/>
    <col min="3" max="3" width="20.17578125" customWidth="1"/>
    <col min="4" max="4" width="18.16015625" customWidth="1"/>
    <col min="5" max="256" width="11.43359375" customWidth="1"/>
  </cols>
  <sheetData>
    <row r="1" spans="1:9" ht="15.75" x14ac:dyDescent="0.2">
      <c r="A1" s="104" t="s">
        <v>20</v>
      </c>
      <c r="B1" s="104"/>
      <c r="C1" s="104"/>
      <c r="D1" s="104"/>
      <c r="E1" s="104"/>
      <c r="F1" s="104"/>
      <c r="G1" s="104"/>
      <c r="H1" s="104"/>
      <c r="I1" s="104"/>
    </row>
    <row r="2" spans="1:9" ht="15.75" x14ac:dyDescent="0.2">
      <c r="A2" s="24"/>
      <c r="B2" s="25"/>
      <c r="C2" s="25"/>
      <c r="D2" s="25"/>
      <c r="E2" s="25"/>
      <c r="F2" s="25"/>
      <c r="G2" s="25"/>
      <c r="H2" s="25"/>
      <c r="I2" s="25"/>
    </row>
    <row r="3" spans="1:9" ht="15.75" x14ac:dyDescent="0.2">
      <c r="A3" s="50" t="s">
        <v>21</v>
      </c>
      <c r="B3" s="51"/>
      <c r="C3" s="51"/>
      <c r="D3" s="25"/>
      <c r="E3" s="25"/>
      <c r="F3" s="25"/>
      <c r="G3" s="25"/>
      <c r="H3" s="25"/>
      <c r="I3" s="25"/>
    </row>
    <row r="4" spans="1:9" x14ac:dyDescent="0.2">
      <c r="A4" s="5"/>
      <c r="B4" s="5"/>
      <c r="C4" s="5"/>
      <c r="D4" s="5"/>
      <c r="E4" s="5"/>
      <c r="F4" s="5"/>
      <c r="G4" s="5"/>
      <c r="H4" s="5"/>
      <c r="I4" s="5"/>
    </row>
    <row r="5" spans="1:9" ht="24" customHeight="1" x14ac:dyDescent="0.2">
      <c r="A5" s="105" t="s">
        <v>76</v>
      </c>
      <c r="B5" s="105"/>
      <c r="C5" s="105"/>
      <c r="D5" s="105"/>
      <c r="E5" s="105"/>
      <c r="F5" s="105"/>
      <c r="G5" s="105"/>
      <c r="H5" s="105"/>
      <c r="I5" s="105"/>
    </row>
    <row r="6" spans="1:9" ht="24" customHeight="1" x14ac:dyDescent="0.2">
      <c r="A6" s="105"/>
      <c r="B6" s="105"/>
      <c r="C6" s="105"/>
      <c r="D6" s="105"/>
      <c r="E6" s="105"/>
      <c r="F6" s="105"/>
      <c r="G6" s="105"/>
      <c r="H6" s="105"/>
      <c r="I6" s="105"/>
    </row>
    <row r="7" spans="1:9" ht="24" customHeight="1" x14ac:dyDescent="0.2">
      <c r="A7" s="105"/>
      <c r="B7" s="105"/>
      <c r="C7" s="105"/>
      <c r="D7" s="105"/>
      <c r="E7" s="105"/>
      <c r="F7" s="105"/>
      <c r="G7" s="105"/>
      <c r="H7" s="105"/>
      <c r="I7" s="105"/>
    </row>
    <row r="8" spans="1:9" ht="24" customHeight="1" x14ac:dyDescent="0.2">
      <c r="A8" s="105"/>
      <c r="B8" s="105"/>
      <c r="C8" s="105"/>
      <c r="D8" s="105"/>
      <c r="E8" s="105"/>
      <c r="F8" s="105"/>
      <c r="G8" s="105"/>
      <c r="H8" s="105"/>
      <c r="I8" s="105"/>
    </row>
    <row r="9" spans="1:9" ht="12.95" customHeight="1" x14ac:dyDescent="0.2">
      <c r="A9" s="105" t="s">
        <v>77</v>
      </c>
      <c r="B9" s="105"/>
      <c r="C9" s="105"/>
      <c r="D9" s="105"/>
      <c r="E9" s="105"/>
      <c r="F9" s="105"/>
      <c r="G9" s="105"/>
      <c r="H9" s="105"/>
      <c r="I9" s="105"/>
    </row>
    <row r="10" spans="1:9" ht="24" customHeight="1" x14ac:dyDescent="0.2">
      <c r="A10" s="105"/>
      <c r="B10" s="105"/>
      <c r="C10" s="105"/>
      <c r="D10" s="105"/>
      <c r="E10" s="105"/>
      <c r="F10" s="105"/>
      <c r="G10" s="105"/>
      <c r="H10" s="105"/>
      <c r="I10" s="105"/>
    </row>
    <row r="11" spans="1:9" ht="20.45" customHeight="1" x14ac:dyDescent="0.2">
      <c r="A11" s="105"/>
      <c r="B11" s="105"/>
      <c r="C11" s="105"/>
      <c r="D11" s="105"/>
      <c r="E11" s="105"/>
      <c r="F11" s="105"/>
      <c r="G11" s="105"/>
      <c r="H11" s="105"/>
      <c r="I11" s="105"/>
    </row>
    <row r="12" spans="1:9" ht="24" hidden="1" customHeight="1" x14ac:dyDescent="0.2">
      <c r="A12" s="105"/>
      <c r="B12" s="105"/>
      <c r="C12" s="105"/>
      <c r="D12" s="105"/>
      <c r="E12" s="105"/>
      <c r="F12" s="105"/>
      <c r="G12" s="105"/>
      <c r="H12" s="105"/>
      <c r="I12" s="105"/>
    </row>
    <row r="13" spans="1:9" x14ac:dyDescent="0.2">
      <c r="A13" s="105" t="s">
        <v>22</v>
      </c>
      <c r="B13" s="105"/>
      <c r="C13" s="105"/>
      <c r="D13" s="105"/>
      <c r="E13" s="105"/>
      <c r="F13" s="105"/>
      <c r="G13" s="105"/>
      <c r="H13" s="105"/>
      <c r="I13" s="105"/>
    </row>
    <row r="14" spans="1:9" x14ac:dyDescent="0.2">
      <c r="A14" s="105"/>
      <c r="B14" s="105"/>
      <c r="C14" s="105"/>
      <c r="D14" s="105"/>
      <c r="E14" s="105"/>
      <c r="F14" s="105"/>
      <c r="G14" s="105"/>
      <c r="H14" s="105"/>
      <c r="I14" s="105"/>
    </row>
    <row r="15" spans="1:9" x14ac:dyDescent="0.2">
      <c r="A15" s="105"/>
      <c r="B15" s="105"/>
      <c r="C15" s="105"/>
      <c r="D15" s="105"/>
      <c r="E15" s="105"/>
      <c r="F15" s="105"/>
      <c r="G15" s="105"/>
      <c r="H15" s="105"/>
      <c r="I15" s="105"/>
    </row>
    <row r="16" spans="1:9" x14ac:dyDescent="0.2">
      <c r="A16" s="105"/>
      <c r="B16" s="105"/>
      <c r="C16" s="105"/>
      <c r="D16" s="105"/>
      <c r="E16" s="105"/>
      <c r="F16" s="105"/>
      <c r="G16" s="105"/>
      <c r="H16" s="105"/>
      <c r="I16" s="105"/>
    </row>
    <row r="17" spans="1:10" x14ac:dyDescent="0.2">
      <c r="A17" s="43"/>
      <c r="B17" s="43"/>
      <c r="C17" s="43"/>
      <c r="D17" s="43"/>
      <c r="E17" s="43"/>
      <c r="F17" s="43"/>
      <c r="G17" s="43"/>
      <c r="H17" s="43"/>
      <c r="I17" s="43"/>
    </row>
    <row r="18" spans="1:10" x14ac:dyDescent="0.2">
      <c r="A18" s="106" t="s">
        <v>78</v>
      </c>
      <c r="B18" s="106"/>
      <c r="C18" s="107"/>
      <c r="D18" s="43"/>
      <c r="E18" s="106" t="s">
        <v>79</v>
      </c>
      <c r="F18" s="106"/>
      <c r="G18" s="107"/>
      <c r="H18" s="108"/>
      <c r="I18" s="108"/>
    </row>
    <row r="19" spans="1:10" x14ac:dyDescent="0.2">
      <c r="A19" s="43"/>
      <c r="B19" s="43"/>
      <c r="C19" s="43"/>
      <c r="D19" s="43"/>
      <c r="E19" s="43"/>
      <c r="F19" s="43"/>
      <c r="G19" s="43"/>
      <c r="H19" s="43"/>
      <c r="I19" s="43"/>
    </row>
    <row r="20" spans="1:10" ht="15" customHeight="1" x14ac:dyDescent="0.2">
      <c r="A20" s="52" t="s">
        <v>80</v>
      </c>
      <c r="B20" s="53"/>
      <c r="C20" s="53"/>
      <c r="D20" s="53"/>
      <c r="E20" s="52" t="s">
        <v>81</v>
      </c>
      <c r="F20" s="43"/>
      <c r="G20" s="43"/>
      <c r="H20" s="43"/>
      <c r="I20" s="43"/>
    </row>
    <row r="21" spans="1:10" ht="15" customHeight="1" x14ac:dyDescent="0.2">
      <c r="A21" s="52" t="s">
        <v>82</v>
      </c>
      <c r="B21" s="53"/>
      <c r="C21" s="53"/>
      <c r="D21" s="53"/>
      <c r="E21" s="52" t="s">
        <v>83</v>
      </c>
      <c r="F21" s="43"/>
      <c r="G21" s="43"/>
      <c r="H21" s="43"/>
      <c r="I21" s="43"/>
    </row>
    <row r="22" spans="1:10" ht="15" customHeight="1" x14ac:dyDescent="0.2">
      <c r="A22" s="109" t="s">
        <v>163</v>
      </c>
      <c r="B22" s="110"/>
      <c r="C22" s="110"/>
      <c r="D22" s="110"/>
      <c r="E22" s="52" t="s">
        <v>84</v>
      </c>
      <c r="F22" s="43"/>
      <c r="G22" s="43"/>
      <c r="H22" s="43"/>
      <c r="I22" s="43"/>
    </row>
    <row r="23" spans="1:10" ht="15" customHeight="1" x14ac:dyDescent="0.2">
      <c r="A23" s="52" t="s">
        <v>85</v>
      </c>
      <c r="B23" s="53"/>
      <c r="C23" s="53"/>
      <c r="D23" s="53"/>
      <c r="E23" s="52" t="s">
        <v>86</v>
      </c>
      <c r="F23" s="43"/>
      <c r="G23" s="43"/>
      <c r="H23" s="43"/>
      <c r="I23" s="43"/>
    </row>
    <row r="24" spans="1:10" ht="15" customHeight="1" x14ac:dyDescent="0.2">
      <c r="A24" s="52" t="s">
        <v>87</v>
      </c>
      <c r="B24" s="53"/>
      <c r="C24" s="53"/>
      <c r="D24" s="53"/>
      <c r="E24" s="52" t="s">
        <v>88</v>
      </c>
      <c r="F24" s="43"/>
      <c r="G24" s="43"/>
      <c r="H24" s="43"/>
      <c r="I24" s="43"/>
    </row>
    <row r="25" spans="1:10" ht="15" customHeight="1" x14ac:dyDescent="0.2">
      <c r="A25" s="52" t="s">
        <v>89</v>
      </c>
      <c r="B25" s="53"/>
      <c r="C25" s="53"/>
      <c r="D25" s="53"/>
      <c r="E25" s="52" t="s">
        <v>90</v>
      </c>
      <c r="F25" s="43"/>
      <c r="G25" s="43"/>
      <c r="H25" s="43"/>
      <c r="I25" s="43"/>
    </row>
    <row r="26" spans="1:10" ht="15" customHeight="1" x14ac:dyDescent="0.2">
      <c r="A26" s="52" t="s">
        <v>143</v>
      </c>
      <c r="E26" s="52" t="s">
        <v>91</v>
      </c>
      <c r="F26" s="43"/>
      <c r="G26" s="43"/>
      <c r="H26" s="43"/>
      <c r="I26" s="43"/>
    </row>
    <row r="27" spans="1:10" x14ac:dyDescent="0.2">
      <c r="A27" s="52" t="s">
        <v>144</v>
      </c>
      <c r="B27" s="53"/>
      <c r="C27" s="53"/>
      <c r="D27" s="53"/>
      <c r="E27" s="52" t="s">
        <v>92</v>
      </c>
      <c r="F27" s="43"/>
      <c r="G27" s="43"/>
      <c r="H27" s="43"/>
      <c r="I27" s="43"/>
    </row>
    <row r="28" spans="1:10" x14ac:dyDescent="0.2">
      <c r="A28" s="52" t="s">
        <v>145</v>
      </c>
      <c r="B28" s="53"/>
      <c r="C28" s="53"/>
      <c r="D28" s="53"/>
      <c r="E28" s="52" t="s">
        <v>93</v>
      </c>
      <c r="F28" s="43"/>
      <c r="G28" s="43"/>
      <c r="H28" s="43"/>
      <c r="I28" s="43"/>
    </row>
    <row r="29" spans="1:10" x14ac:dyDescent="0.2">
      <c r="A29" s="52" t="s">
        <v>146</v>
      </c>
      <c r="B29" s="53"/>
      <c r="C29" s="53"/>
      <c r="D29" s="53"/>
      <c r="E29" s="52" t="s">
        <v>94</v>
      </c>
      <c r="F29" s="43"/>
      <c r="G29" s="43"/>
      <c r="H29" s="43"/>
      <c r="I29" s="43"/>
    </row>
    <row r="30" spans="1:10" x14ac:dyDescent="0.2">
      <c r="A30" s="52" t="s">
        <v>147</v>
      </c>
      <c r="B30" s="43"/>
      <c r="C30" s="43"/>
      <c r="D30" s="43"/>
      <c r="E30" s="43"/>
      <c r="F30" s="43"/>
      <c r="G30" s="43"/>
      <c r="H30" s="43"/>
      <c r="I30" s="43"/>
      <c r="J30" s="6"/>
    </row>
    <row r="31" spans="1:10" x14ac:dyDescent="0.2">
      <c r="A31" s="5"/>
      <c r="B31" s="5"/>
      <c r="C31" s="5"/>
      <c r="D31" s="5"/>
      <c r="E31" s="5"/>
      <c r="F31" s="5"/>
      <c r="G31" s="5"/>
      <c r="H31" s="5"/>
      <c r="I31" s="5"/>
    </row>
    <row r="32" spans="1:10" ht="15.75" x14ac:dyDescent="0.2">
      <c r="A32" s="111" t="s">
        <v>23</v>
      </c>
      <c r="B32" s="111"/>
      <c r="C32" s="111"/>
      <c r="D32" s="111"/>
      <c r="E32" s="111"/>
      <c r="F32" s="111"/>
      <c r="G32" s="111"/>
      <c r="H32" s="111"/>
      <c r="I32" s="111"/>
    </row>
    <row r="33" spans="1:9" x14ac:dyDescent="0.2">
      <c r="B33" s="5"/>
      <c r="C33" s="5"/>
      <c r="D33" s="5"/>
      <c r="E33" s="5"/>
      <c r="F33" s="5"/>
      <c r="G33" s="5"/>
      <c r="H33" s="5"/>
      <c r="I33" s="5"/>
    </row>
    <row r="34" spans="1:9" x14ac:dyDescent="0.2">
      <c r="A34" s="55" t="s">
        <v>24</v>
      </c>
      <c r="B34" s="5"/>
      <c r="C34" s="5"/>
      <c r="D34" s="5"/>
      <c r="E34" s="5"/>
      <c r="F34" s="5"/>
      <c r="G34" s="5"/>
      <c r="H34" s="5"/>
      <c r="I34" s="5"/>
    </row>
    <row r="35" spans="1:9" x14ac:dyDescent="0.2">
      <c r="B35" s="65"/>
      <c r="C35" s="5"/>
      <c r="D35" s="5"/>
      <c r="E35" s="5"/>
      <c r="F35" s="5"/>
      <c r="G35" s="5"/>
      <c r="H35" s="5"/>
      <c r="I35" s="5"/>
    </row>
    <row r="36" spans="1:9" ht="81.95" customHeight="1" x14ac:dyDescent="0.2">
      <c r="A36" s="112" t="s">
        <v>95</v>
      </c>
      <c r="B36" s="112"/>
      <c r="C36" s="112"/>
      <c r="D36" s="112"/>
      <c r="E36" s="112"/>
      <c r="F36" s="112"/>
      <c r="G36" s="112"/>
      <c r="H36" s="112"/>
      <c r="I36" s="112"/>
    </row>
    <row r="37" spans="1:9" x14ac:dyDescent="0.2">
      <c r="A37" s="65"/>
      <c r="B37" s="65"/>
      <c r="C37" s="65"/>
      <c r="D37" s="65"/>
      <c r="E37" s="65"/>
      <c r="F37" s="65"/>
      <c r="G37" s="65"/>
      <c r="H37" s="65"/>
      <c r="I37" s="65"/>
    </row>
    <row r="38" spans="1:9" x14ac:dyDescent="0.2">
      <c r="A38" s="65"/>
      <c r="B38" s="65"/>
      <c r="C38" s="65"/>
      <c r="D38" s="65"/>
      <c r="E38" s="65"/>
      <c r="F38" s="65"/>
      <c r="G38" s="65"/>
      <c r="H38" s="65"/>
      <c r="I38" s="65"/>
    </row>
    <row r="39" spans="1:9" x14ac:dyDescent="0.2">
      <c r="A39" s="65"/>
      <c r="B39" s="65"/>
      <c r="C39" s="65"/>
      <c r="D39" s="65"/>
      <c r="E39" s="65"/>
      <c r="F39" s="65"/>
      <c r="G39" s="65"/>
      <c r="H39" s="65"/>
      <c r="I39" s="65"/>
    </row>
    <row r="40" spans="1:9" ht="51.95" customHeight="1" x14ac:dyDescent="0.2">
      <c r="A40" s="112" t="s">
        <v>96</v>
      </c>
      <c r="B40" s="112"/>
      <c r="C40" s="112"/>
      <c r="D40" s="112"/>
      <c r="E40" s="112"/>
      <c r="F40" s="112"/>
      <c r="G40" s="112"/>
      <c r="H40" s="112"/>
      <c r="I40" s="112"/>
    </row>
    <row r="41" spans="1:9" x14ac:dyDescent="0.2">
      <c r="A41" s="65"/>
      <c r="B41" s="65"/>
      <c r="C41" s="65"/>
      <c r="D41" s="65"/>
      <c r="E41" s="65"/>
      <c r="F41" s="65"/>
      <c r="G41" s="65"/>
      <c r="H41" s="65"/>
      <c r="I41" s="65"/>
    </row>
    <row r="42" spans="1:9" x14ac:dyDescent="0.2">
      <c r="A42" s="65"/>
      <c r="B42" s="65"/>
      <c r="C42" s="65"/>
      <c r="D42" s="65"/>
      <c r="E42" s="65"/>
      <c r="F42" s="65"/>
      <c r="G42" s="65"/>
      <c r="H42" s="65"/>
      <c r="I42" s="65"/>
    </row>
    <row r="43" spans="1:9" x14ac:dyDescent="0.2">
      <c r="A43" s="65"/>
      <c r="B43" s="66"/>
      <c r="C43" s="65"/>
      <c r="D43" s="65"/>
      <c r="E43" s="65"/>
      <c r="F43" s="65"/>
      <c r="G43" s="65"/>
      <c r="H43" s="65"/>
      <c r="I43" s="65"/>
    </row>
    <row r="44" spans="1:9" ht="14.45" customHeight="1" x14ac:dyDescent="0.2">
      <c r="A44" s="113" t="s">
        <v>78</v>
      </c>
      <c r="B44" s="113"/>
      <c r="C44" s="113"/>
      <c r="D44" s="113"/>
      <c r="E44" s="106" t="s">
        <v>79</v>
      </c>
      <c r="F44" s="106"/>
      <c r="G44" s="107"/>
      <c r="H44" s="108"/>
      <c r="I44" s="108"/>
    </row>
    <row r="45" spans="1:9" x14ac:dyDescent="0.2">
      <c r="A45" s="43"/>
      <c r="B45" s="43"/>
      <c r="C45" s="43"/>
      <c r="D45" s="43"/>
      <c r="E45" s="54"/>
      <c r="F45" s="43"/>
      <c r="G45" s="43"/>
      <c r="H45" s="43"/>
      <c r="I45" s="43"/>
    </row>
    <row r="46" spans="1:9" x14ac:dyDescent="0.2">
      <c r="A46" s="56" t="s">
        <v>97</v>
      </c>
      <c r="B46" s="43"/>
      <c r="C46" s="43"/>
      <c r="D46" s="43"/>
      <c r="E46" s="56" t="s">
        <v>98</v>
      </c>
      <c r="F46" s="56"/>
      <c r="G46" s="43"/>
      <c r="H46" s="43"/>
      <c r="I46" s="43"/>
    </row>
    <row r="47" spans="1:9" x14ac:dyDescent="0.2">
      <c r="A47" s="56" t="s">
        <v>99</v>
      </c>
      <c r="B47" s="43"/>
      <c r="C47" s="43"/>
      <c r="D47" s="43"/>
      <c r="E47" s="56" t="s">
        <v>100</v>
      </c>
      <c r="F47" s="56"/>
      <c r="G47" s="43"/>
      <c r="H47" s="43"/>
      <c r="I47" s="43"/>
    </row>
    <row r="48" spans="1:9" x14ac:dyDescent="0.2">
      <c r="A48" s="56" t="s">
        <v>101</v>
      </c>
      <c r="B48" s="43"/>
      <c r="C48" s="43"/>
      <c r="D48" s="43"/>
      <c r="E48" s="56" t="s">
        <v>102</v>
      </c>
      <c r="F48" s="56"/>
      <c r="G48" s="43"/>
      <c r="H48" s="43"/>
      <c r="I48" s="43"/>
    </row>
    <row r="49" spans="1:10" x14ac:dyDescent="0.2">
      <c r="A49" s="56" t="s">
        <v>103</v>
      </c>
      <c r="B49" s="43"/>
      <c r="C49" s="43"/>
      <c r="D49" s="43"/>
      <c r="E49" s="56" t="s">
        <v>104</v>
      </c>
      <c r="F49" s="56"/>
      <c r="G49" s="43"/>
      <c r="H49" s="43"/>
      <c r="I49" s="43"/>
    </row>
    <row r="50" spans="1:10" x14ac:dyDescent="0.2">
      <c r="A50" s="56" t="s">
        <v>105</v>
      </c>
      <c r="B50" s="49"/>
      <c r="C50" s="43"/>
      <c r="D50" s="43"/>
      <c r="E50" s="56" t="s">
        <v>106</v>
      </c>
      <c r="F50" s="56"/>
      <c r="G50" s="43"/>
      <c r="H50" s="43"/>
      <c r="I50" s="43"/>
    </row>
    <row r="51" spans="1:10" x14ac:dyDescent="0.2">
      <c r="A51" s="56" t="s">
        <v>148</v>
      </c>
      <c r="B51" s="49"/>
      <c r="C51" s="49"/>
      <c r="D51" s="49"/>
      <c r="E51" s="56" t="s">
        <v>107</v>
      </c>
      <c r="F51" s="56"/>
      <c r="G51" s="43"/>
      <c r="H51" s="49"/>
      <c r="I51" s="49"/>
    </row>
    <row r="52" spans="1:10" x14ac:dyDescent="0.2">
      <c r="A52" s="56" t="s">
        <v>149</v>
      </c>
      <c r="B52" s="49"/>
      <c r="C52" s="49"/>
      <c r="D52" s="49"/>
      <c r="E52" s="56" t="s">
        <v>108</v>
      </c>
      <c r="F52" s="56"/>
      <c r="G52" s="43"/>
      <c r="H52" s="49"/>
      <c r="I52" s="49"/>
    </row>
    <row r="53" spans="1:10" x14ac:dyDescent="0.2">
      <c r="A53" s="56" t="s">
        <v>150</v>
      </c>
      <c r="B53" s="43"/>
      <c r="C53" s="49"/>
      <c r="D53" s="49"/>
      <c r="E53" s="56"/>
      <c r="F53" s="56"/>
      <c r="G53" s="49"/>
      <c r="H53" s="49"/>
      <c r="I53" s="49"/>
    </row>
    <row r="54" spans="1:10" x14ac:dyDescent="0.2">
      <c r="A54" s="56" t="s">
        <v>151</v>
      </c>
      <c r="B54" s="43"/>
      <c r="C54" s="43"/>
      <c r="D54" s="43"/>
      <c r="H54" s="43"/>
      <c r="I54" s="43"/>
    </row>
    <row r="55" spans="1:10" x14ac:dyDescent="0.2">
      <c r="A55" s="56" t="s">
        <v>152</v>
      </c>
      <c r="B55" s="49"/>
      <c r="C55" s="43"/>
      <c r="D55" s="43"/>
      <c r="H55" s="43"/>
      <c r="I55" s="43"/>
    </row>
    <row r="56" spans="1:10" x14ac:dyDescent="0.2">
      <c r="A56" s="56" t="s">
        <v>153</v>
      </c>
      <c r="B56" s="5"/>
      <c r="C56" s="49"/>
      <c r="D56" s="49"/>
      <c r="H56" s="49"/>
      <c r="I56" s="49"/>
    </row>
    <row r="57" spans="1:10" x14ac:dyDescent="0.2">
      <c r="A57" s="5"/>
      <c r="C57" s="5"/>
      <c r="D57" s="5"/>
      <c r="E57" s="5"/>
      <c r="F57" s="5"/>
      <c r="G57" s="5"/>
      <c r="H57" s="5"/>
      <c r="I57" s="5"/>
      <c r="J57" s="6"/>
    </row>
    <row r="58" spans="1:10" ht="15.75" x14ac:dyDescent="0.2">
      <c r="A58" s="67" t="s">
        <v>25</v>
      </c>
      <c r="B58" s="67"/>
      <c r="C58" s="67"/>
      <c r="D58" s="67"/>
      <c r="E58" s="67"/>
      <c r="F58" s="67"/>
      <c r="G58" s="67"/>
      <c r="H58" s="67"/>
      <c r="I58" s="67"/>
    </row>
    <row r="59" spans="1:10" x14ac:dyDescent="0.2">
      <c r="B59" s="5"/>
      <c r="C59" s="5"/>
      <c r="D59" s="5"/>
      <c r="E59" s="5"/>
      <c r="F59" s="5"/>
      <c r="G59" s="5"/>
      <c r="H59" s="5"/>
      <c r="I59" s="5"/>
    </row>
    <row r="60" spans="1:10" x14ac:dyDescent="0.2">
      <c r="A60" s="55" t="s">
        <v>26</v>
      </c>
      <c r="B60" s="65"/>
      <c r="C60" s="5"/>
      <c r="D60" s="5"/>
      <c r="E60" s="5"/>
      <c r="F60" s="5"/>
      <c r="G60" s="5"/>
      <c r="H60" s="5"/>
      <c r="I60" s="5"/>
    </row>
    <row r="61" spans="1:10" ht="84.75" customHeight="1" x14ac:dyDescent="0.2">
      <c r="A61" s="114" t="s">
        <v>109</v>
      </c>
      <c r="B61" s="114"/>
      <c r="C61" s="114"/>
      <c r="D61" s="114"/>
      <c r="E61" s="114"/>
      <c r="F61" s="114"/>
      <c r="G61" s="114"/>
      <c r="H61" s="114"/>
      <c r="I61" s="114"/>
    </row>
    <row r="62" spans="1:10" ht="6" customHeight="1" x14ac:dyDescent="0.2">
      <c r="A62" s="70"/>
      <c r="B62" s="53"/>
      <c r="C62" s="53"/>
      <c r="D62" s="53"/>
      <c r="E62" s="53"/>
      <c r="F62" s="53"/>
      <c r="G62" s="53"/>
      <c r="H62" s="53"/>
      <c r="I62" s="53"/>
    </row>
    <row r="63" spans="1:10" ht="41.45" customHeight="1" x14ac:dyDescent="0.2">
      <c r="A63" s="118" t="s">
        <v>110</v>
      </c>
      <c r="B63" s="118"/>
      <c r="C63" s="118"/>
      <c r="D63" s="118"/>
      <c r="E63" s="118"/>
      <c r="F63" s="118"/>
      <c r="G63" s="118"/>
      <c r="H63" s="118"/>
      <c r="I63" s="118"/>
    </row>
    <row r="64" spans="1:10" x14ac:dyDescent="0.2">
      <c r="A64" s="65"/>
      <c r="B64" s="65"/>
      <c r="C64" s="65"/>
      <c r="D64" s="65"/>
      <c r="E64" s="65"/>
      <c r="F64" s="65"/>
      <c r="G64" s="65"/>
      <c r="H64" s="65"/>
      <c r="I64" s="65"/>
    </row>
    <row r="65" spans="1:9" x14ac:dyDescent="0.2">
      <c r="A65" s="65"/>
      <c r="B65" s="65"/>
      <c r="C65" s="65"/>
      <c r="D65" s="65"/>
      <c r="E65" s="65"/>
      <c r="F65" s="65"/>
      <c r="G65" s="65"/>
      <c r="H65" s="65"/>
      <c r="I65" s="65"/>
    </row>
    <row r="66" spans="1:9" ht="14.45" customHeight="1" x14ac:dyDescent="0.2">
      <c r="A66" s="112" t="s">
        <v>111</v>
      </c>
      <c r="B66" s="112"/>
      <c r="C66" s="112"/>
      <c r="D66" s="112"/>
      <c r="E66" s="112"/>
      <c r="F66" s="112"/>
      <c r="G66" s="112"/>
      <c r="H66" s="112"/>
      <c r="I66" s="112"/>
    </row>
    <row r="67" spans="1:9" x14ac:dyDescent="0.2">
      <c r="A67" s="65"/>
      <c r="B67" s="65"/>
      <c r="C67" s="65"/>
      <c r="D67" s="65"/>
      <c r="E67" s="65"/>
      <c r="F67" s="65"/>
      <c r="G67" s="65"/>
      <c r="H67" s="65"/>
      <c r="I67" s="65"/>
    </row>
    <row r="68" spans="1:9" x14ac:dyDescent="0.2">
      <c r="A68" s="65"/>
      <c r="B68" s="65"/>
      <c r="C68" s="65"/>
      <c r="D68" s="65"/>
      <c r="E68" s="65"/>
      <c r="F68" s="65"/>
      <c r="G68" s="65"/>
      <c r="H68" s="65"/>
      <c r="I68" s="65"/>
    </row>
    <row r="69" spans="1:9" x14ac:dyDescent="0.2">
      <c r="A69" s="65"/>
      <c r="B69" s="66"/>
      <c r="C69" s="65"/>
      <c r="D69" s="65"/>
      <c r="E69" s="65"/>
      <c r="F69" s="65"/>
      <c r="G69" s="65"/>
      <c r="H69" s="65"/>
      <c r="I69" s="65"/>
    </row>
    <row r="70" spans="1:9" ht="14.45" customHeight="1" x14ac:dyDescent="0.2">
      <c r="A70" s="115" t="s">
        <v>78</v>
      </c>
      <c r="B70" s="115"/>
      <c r="C70" s="115"/>
      <c r="D70" s="115"/>
      <c r="E70" s="106" t="s">
        <v>79</v>
      </c>
      <c r="F70" s="106"/>
      <c r="G70" s="107"/>
      <c r="H70" s="108"/>
      <c r="I70" s="108"/>
    </row>
    <row r="71" spans="1:9" x14ac:dyDescent="0.2">
      <c r="A71" s="43"/>
      <c r="B71" s="43"/>
      <c r="C71" s="43"/>
      <c r="D71" s="43"/>
      <c r="E71" s="43"/>
      <c r="F71" s="43"/>
      <c r="G71" s="43"/>
      <c r="H71" s="43"/>
      <c r="I71" s="43"/>
    </row>
    <row r="72" spans="1:9" ht="15.75" x14ac:dyDescent="0.2">
      <c r="A72" s="56" t="s">
        <v>161</v>
      </c>
      <c r="B72" s="43"/>
      <c r="C72" s="43"/>
      <c r="D72" s="43"/>
      <c r="E72" s="57" t="s">
        <v>112</v>
      </c>
      <c r="F72" s="72"/>
      <c r="G72" s="56"/>
      <c r="H72" s="56"/>
      <c r="I72" s="56"/>
    </row>
    <row r="73" spans="1:9" x14ac:dyDescent="0.2">
      <c r="A73" s="56" t="s">
        <v>113</v>
      </c>
      <c r="B73" s="43"/>
      <c r="C73" s="43"/>
      <c r="D73" s="43"/>
      <c r="E73" s="56" t="s">
        <v>114</v>
      </c>
      <c r="F73" s="56"/>
      <c r="G73" s="56"/>
      <c r="H73" s="56"/>
      <c r="I73" s="56"/>
    </row>
    <row r="74" spans="1:9" x14ac:dyDescent="0.2">
      <c r="A74" s="56" t="s">
        <v>115</v>
      </c>
      <c r="B74" s="43"/>
      <c r="C74" s="43"/>
      <c r="D74" s="43"/>
      <c r="E74" s="56" t="s">
        <v>116</v>
      </c>
      <c r="F74" s="56"/>
      <c r="G74" s="56"/>
      <c r="H74" s="56"/>
      <c r="I74" s="56"/>
    </row>
    <row r="75" spans="1:9" x14ac:dyDescent="0.2">
      <c r="A75" s="56" t="s">
        <v>117</v>
      </c>
      <c r="B75" s="43"/>
      <c r="C75" s="43"/>
      <c r="D75" s="43"/>
      <c r="E75" s="56" t="s">
        <v>118</v>
      </c>
      <c r="F75" s="56"/>
      <c r="G75" s="56"/>
      <c r="H75" s="56"/>
      <c r="I75" s="56"/>
    </row>
    <row r="76" spans="1:9" ht="15.75" x14ac:dyDescent="0.2">
      <c r="A76" s="56" t="s">
        <v>119</v>
      </c>
      <c r="B76" s="43"/>
      <c r="C76" s="43"/>
      <c r="D76" s="43"/>
      <c r="E76" s="58" t="s">
        <v>120</v>
      </c>
      <c r="F76" s="56"/>
      <c r="G76" s="56"/>
      <c r="H76" s="56"/>
      <c r="I76" s="56"/>
    </row>
    <row r="77" spans="1:9" x14ac:dyDescent="0.2">
      <c r="A77" s="56" t="s">
        <v>121</v>
      </c>
      <c r="B77" s="49"/>
      <c r="C77" s="43"/>
      <c r="D77" s="43"/>
      <c r="E77" s="56" t="s">
        <v>122</v>
      </c>
      <c r="F77" s="56"/>
      <c r="G77" s="56"/>
      <c r="H77" s="56"/>
      <c r="I77" s="56"/>
    </row>
    <row r="78" spans="1:9" x14ac:dyDescent="0.2">
      <c r="A78" s="56" t="s">
        <v>154</v>
      </c>
      <c r="B78" s="49"/>
      <c r="C78" s="49"/>
      <c r="D78" s="49"/>
      <c r="E78" s="56" t="s">
        <v>123</v>
      </c>
      <c r="F78" s="56"/>
      <c r="G78" s="56"/>
      <c r="H78" s="56"/>
      <c r="I78" s="56"/>
    </row>
    <row r="79" spans="1:9" x14ac:dyDescent="0.2">
      <c r="A79" s="56" t="s">
        <v>155</v>
      </c>
      <c r="C79" s="49"/>
      <c r="D79" s="49"/>
      <c r="E79" s="56"/>
      <c r="F79" s="56"/>
      <c r="G79" s="56"/>
      <c r="H79" s="56"/>
      <c r="I79" s="56"/>
    </row>
    <row r="80" spans="1:9" x14ac:dyDescent="0.2">
      <c r="A80" s="56" t="s">
        <v>156</v>
      </c>
      <c r="F80" s="56"/>
      <c r="G80" s="56"/>
      <c r="H80" s="56"/>
      <c r="I80" s="56"/>
    </row>
    <row r="81" spans="1:10" x14ac:dyDescent="0.2">
      <c r="A81" s="56" t="s">
        <v>159</v>
      </c>
      <c r="E81" s="56"/>
      <c r="F81" s="56"/>
      <c r="G81" s="56"/>
      <c r="H81" s="56"/>
      <c r="I81" s="56"/>
    </row>
    <row r="82" spans="1:10" x14ac:dyDescent="0.2">
      <c r="A82" s="56" t="s">
        <v>162</v>
      </c>
      <c r="E82" s="56"/>
      <c r="F82" s="56"/>
      <c r="G82" s="56"/>
      <c r="H82" s="56"/>
      <c r="I82" s="56"/>
    </row>
    <row r="83" spans="1:10" x14ac:dyDescent="0.2">
      <c r="J83" s="6"/>
    </row>
    <row r="84" spans="1:10" ht="15.75" x14ac:dyDescent="0.2">
      <c r="A84" s="69" t="s">
        <v>27</v>
      </c>
      <c r="B84" s="69"/>
      <c r="C84" s="69"/>
      <c r="D84" s="69"/>
      <c r="E84" s="69"/>
      <c r="F84" s="69"/>
      <c r="G84" s="69"/>
      <c r="H84" s="69"/>
      <c r="I84" s="69"/>
    </row>
    <row r="85" spans="1:10" x14ac:dyDescent="0.2">
      <c r="B85" s="5"/>
      <c r="C85" s="5"/>
      <c r="D85" s="5"/>
      <c r="E85" s="5"/>
      <c r="F85" s="5"/>
      <c r="G85" s="5"/>
      <c r="H85" s="5"/>
      <c r="I85" s="5"/>
    </row>
    <row r="86" spans="1:10" x14ac:dyDescent="0.2">
      <c r="A86" s="55" t="s">
        <v>28</v>
      </c>
      <c r="B86" s="5"/>
      <c r="C86" s="5"/>
      <c r="D86" s="5"/>
      <c r="E86" s="5"/>
      <c r="F86" s="5"/>
      <c r="G86" s="5"/>
      <c r="H86" s="5"/>
      <c r="I86" s="5"/>
    </row>
    <row r="87" spans="1:10" ht="8.25" customHeight="1" x14ac:dyDescent="0.2">
      <c r="B87" s="65"/>
      <c r="C87" s="5"/>
      <c r="D87" s="5"/>
      <c r="E87" s="5"/>
      <c r="F87" s="5"/>
      <c r="G87" s="5"/>
      <c r="H87" s="5"/>
      <c r="I87" s="5"/>
    </row>
    <row r="88" spans="1:10" ht="61.5" customHeight="1" x14ac:dyDescent="0.2">
      <c r="A88" s="114" t="s">
        <v>124</v>
      </c>
      <c r="B88" s="114"/>
      <c r="C88" s="114"/>
      <c r="D88" s="114"/>
      <c r="E88" s="114"/>
      <c r="F88" s="114"/>
      <c r="G88" s="114"/>
      <c r="H88" s="114"/>
      <c r="I88" s="114"/>
    </row>
    <row r="89" spans="1:10" ht="14.45" customHeight="1" x14ac:dyDescent="0.2">
      <c r="B89" s="65"/>
      <c r="C89" s="65"/>
      <c r="D89" s="65"/>
      <c r="E89" s="65"/>
      <c r="F89" s="65"/>
      <c r="G89" s="65"/>
      <c r="H89" s="65"/>
      <c r="I89" s="65"/>
    </row>
    <row r="90" spans="1:10" ht="39" customHeight="1" x14ac:dyDescent="0.2">
      <c r="A90" s="112" t="s">
        <v>125</v>
      </c>
      <c r="B90" s="112"/>
      <c r="C90" s="112"/>
      <c r="D90" s="112"/>
      <c r="E90" s="112"/>
      <c r="F90" s="112"/>
      <c r="G90" s="112"/>
      <c r="H90" s="112"/>
      <c r="I90" s="112"/>
    </row>
    <row r="91" spans="1:10" x14ac:dyDescent="0.2">
      <c r="A91" s="65"/>
      <c r="B91" s="65"/>
      <c r="C91" s="65"/>
      <c r="D91" s="65"/>
      <c r="E91" s="65"/>
      <c r="F91" s="65"/>
      <c r="G91" s="65"/>
      <c r="H91" s="65"/>
      <c r="I91" s="65"/>
    </row>
    <row r="92" spans="1:10" ht="31.5" customHeight="1" x14ac:dyDescent="0.2">
      <c r="A92" s="112" t="s">
        <v>29</v>
      </c>
      <c r="B92" s="112"/>
      <c r="C92" s="112"/>
      <c r="D92" s="112"/>
      <c r="E92" s="112"/>
      <c r="F92" s="112"/>
      <c r="G92" s="112"/>
      <c r="H92" s="112"/>
      <c r="I92" s="112"/>
    </row>
    <row r="93" spans="1:10" x14ac:dyDescent="0.2">
      <c r="A93" s="65"/>
      <c r="B93" s="65"/>
      <c r="C93" s="65"/>
      <c r="D93" s="65"/>
      <c r="E93" s="65"/>
      <c r="F93" s="65"/>
      <c r="G93" s="65"/>
      <c r="H93" s="65"/>
      <c r="I93" s="65"/>
    </row>
    <row r="94" spans="1:10" x14ac:dyDescent="0.2">
      <c r="A94" s="65"/>
      <c r="B94" s="65"/>
      <c r="C94" s="65"/>
      <c r="D94" s="65"/>
      <c r="E94" s="65"/>
      <c r="F94" s="65"/>
      <c r="G94" s="65"/>
      <c r="H94" s="65"/>
      <c r="I94" s="65"/>
    </row>
    <row r="95" spans="1:10" x14ac:dyDescent="0.2">
      <c r="A95" s="65"/>
      <c r="B95" s="66"/>
      <c r="C95" s="65"/>
      <c r="D95" s="65"/>
      <c r="E95" s="65"/>
      <c r="F95" s="65"/>
      <c r="G95" s="65"/>
      <c r="H95" s="65"/>
      <c r="I95" s="65"/>
    </row>
    <row r="96" spans="1:10" ht="14.45" customHeight="1" x14ac:dyDescent="0.2">
      <c r="A96" s="115" t="s">
        <v>78</v>
      </c>
      <c r="B96" s="115"/>
      <c r="C96" s="115"/>
      <c r="D96" s="115"/>
      <c r="E96" s="106" t="s">
        <v>79</v>
      </c>
      <c r="F96" s="106"/>
      <c r="G96" s="107"/>
      <c r="H96" s="108"/>
      <c r="I96" s="108"/>
    </row>
    <row r="97" spans="1:9" ht="13.5" customHeight="1" x14ac:dyDescent="0.2">
      <c r="A97" s="43"/>
      <c r="B97" s="43"/>
      <c r="C97" s="43"/>
      <c r="D97" s="43"/>
      <c r="E97" s="43"/>
      <c r="F97" s="43"/>
      <c r="G97" s="43"/>
      <c r="H97" s="43"/>
      <c r="I97" s="43"/>
    </row>
    <row r="98" spans="1:9" ht="21" customHeight="1" x14ac:dyDescent="0.2">
      <c r="A98" s="56" t="s">
        <v>126</v>
      </c>
      <c r="B98" s="68"/>
      <c r="C98" s="43"/>
      <c r="D98" s="43"/>
      <c r="E98" s="56" t="s">
        <v>127</v>
      </c>
      <c r="F98" s="43"/>
      <c r="G98" s="43"/>
      <c r="H98" s="43"/>
      <c r="I98" s="43"/>
    </row>
    <row r="99" spans="1:9" ht="27.75" customHeight="1" x14ac:dyDescent="0.2">
      <c r="A99" s="116" t="s">
        <v>128</v>
      </c>
      <c r="B99" s="116"/>
      <c r="C99" s="116"/>
      <c r="D99" s="5"/>
      <c r="E99" s="56" t="s">
        <v>129</v>
      </c>
      <c r="F99" s="5"/>
      <c r="G99" s="5"/>
      <c r="H99" s="5"/>
      <c r="I99" s="5"/>
    </row>
    <row r="100" spans="1:9" x14ac:dyDescent="0.2">
      <c r="A100" s="56" t="s">
        <v>130</v>
      </c>
      <c r="B100" s="5"/>
      <c r="C100" s="5"/>
      <c r="D100" s="5"/>
      <c r="E100" s="56" t="s">
        <v>131</v>
      </c>
      <c r="F100" s="5"/>
      <c r="G100" s="5"/>
      <c r="H100" s="5"/>
      <c r="I100" s="5"/>
    </row>
    <row r="101" spans="1:9" x14ac:dyDescent="0.2">
      <c r="A101" s="56" t="s">
        <v>132</v>
      </c>
      <c r="B101" s="5"/>
      <c r="C101" s="5"/>
      <c r="D101" s="5"/>
      <c r="E101" s="56" t="s">
        <v>133</v>
      </c>
      <c r="F101" s="5"/>
      <c r="G101" s="5"/>
      <c r="H101" s="5"/>
      <c r="I101" s="5"/>
    </row>
    <row r="102" spans="1:9" x14ac:dyDescent="0.2">
      <c r="A102" s="56" t="s">
        <v>134</v>
      </c>
      <c r="B102" s="68"/>
      <c r="C102" s="5"/>
      <c r="D102" s="5"/>
      <c r="E102" s="56" t="s">
        <v>135</v>
      </c>
      <c r="F102" s="5"/>
      <c r="G102" s="5"/>
      <c r="H102" s="5"/>
      <c r="I102" s="5"/>
    </row>
    <row r="103" spans="1:9" ht="27.75" customHeight="1" x14ac:dyDescent="0.2">
      <c r="A103" s="117" t="s">
        <v>136</v>
      </c>
      <c r="B103" s="117"/>
      <c r="C103" s="117"/>
      <c r="D103" s="5"/>
      <c r="E103" s="56" t="s">
        <v>137</v>
      </c>
      <c r="F103" s="5"/>
      <c r="G103" s="5"/>
      <c r="H103" s="5"/>
      <c r="I103" s="5"/>
    </row>
    <row r="104" spans="1:9" x14ac:dyDescent="0.2">
      <c r="A104" s="56" t="s">
        <v>138</v>
      </c>
      <c r="B104" s="5"/>
      <c r="C104" s="5"/>
      <c r="D104" s="5"/>
      <c r="E104" s="56" t="s">
        <v>139</v>
      </c>
      <c r="F104" s="5"/>
      <c r="G104" s="5"/>
      <c r="H104" s="5"/>
      <c r="I104" s="5"/>
    </row>
    <row r="105" spans="1:9" x14ac:dyDescent="0.2">
      <c r="A105" s="56" t="s">
        <v>142</v>
      </c>
      <c r="B105" s="5"/>
      <c r="C105" s="5"/>
      <c r="D105" s="5"/>
      <c r="E105" s="56"/>
      <c r="F105" s="5"/>
      <c r="G105" s="5"/>
      <c r="H105" s="5"/>
      <c r="I105" s="5"/>
    </row>
    <row r="106" spans="1:9" x14ac:dyDescent="0.2">
      <c r="A106" s="56" t="s">
        <v>160</v>
      </c>
      <c r="B106" s="5"/>
      <c r="C106" s="5"/>
      <c r="D106" s="5"/>
      <c r="E106" s="56"/>
      <c r="F106" s="5"/>
      <c r="G106" s="5"/>
      <c r="H106" s="5"/>
      <c r="I106" s="5"/>
    </row>
    <row r="107" spans="1:9" x14ac:dyDescent="0.2">
      <c r="A107" s="56" t="s">
        <v>157</v>
      </c>
      <c r="B107" s="5"/>
      <c r="C107" s="5"/>
      <c r="D107" s="5"/>
      <c r="E107" s="56"/>
      <c r="F107" s="5"/>
      <c r="G107" s="5"/>
      <c r="H107" s="5"/>
      <c r="I107" s="5"/>
    </row>
    <row r="108" spans="1:9" x14ac:dyDescent="0.2">
      <c r="A108" s="56" t="s">
        <v>158</v>
      </c>
      <c r="B108" s="5"/>
      <c r="C108" s="5"/>
      <c r="D108" s="5"/>
      <c r="E108" s="56"/>
      <c r="F108" s="5"/>
      <c r="G108" s="5"/>
      <c r="H108" s="5"/>
      <c r="I108" s="5"/>
    </row>
    <row r="109" spans="1:9" x14ac:dyDescent="0.2">
      <c r="A109" s="56" t="s">
        <v>159</v>
      </c>
      <c r="B109" s="5"/>
      <c r="C109" s="5"/>
      <c r="D109" s="5"/>
      <c r="E109" s="56"/>
      <c r="F109" s="5"/>
      <c r="G109" s="5"/>
      <c r="H109" s="5"/>
      <c r="I109" s="5"/>
    </row>
    <row r="110" spans="1:9" x14ac:dyDescent="0.2">
      <c r="A110" s="56"/>
      <c r="C110" s="5"/>
      <c r="D110" s="5"/>
      <c r="E110" s="56"/>
      <c r="F110" s="5"/>
      <c r="G110" s="5"/>
      <c r="H110" s="5"/>
      <c r="I110" s="5"/>
    </row>
    <row r="112" spans="1:9" x14ac:dyDescent="0.2">
      <c r="A112" s="60" t="s">
        <v>140</v>
      </c>
    </row>
    <row r="113" spans="1:1" x14ac:dyDescent="0.2">
      <c r="A113" s="59" t="s">
        <v>141</v>
      </c>
    </row>
  </sheetData>
  <mergeCells count="24">
    <mergeCell ref="A99:C99"/>
    <mergeCell ref="A103:C103"/>
    <mergeCell ref="A63:I63"/>
    <mergeCell ref="A66:I66"/>
    <mergeCell ref="A70:D70"/>
    <mergeCell ref="A88:I88"/>
    <mergeCell ref="A90:I90"/>
    <mergeCell ref="A92:I92"/>
    <mergeCell ref="A22:D22"/>
    <mergeCell ref="A32:I32"/>
    <mergeCell ref="E44:I44"/>
    <mergeCell ref="E70:I70"/>
    <mergeCell ref="E96:I96"/>
    <mergeCell ref="A40:I40"/>
    <mergeCell ref="A36:I36"/>
    <mergeCell ref="A44:D44"/>
    <mergeCell ref="A61:I61"/>
    <mergeCell ref="A96:D96"/>
    <mergeCell ref="A1:I1"/>
    <mergeCell ref="A5:I8"/>
    <mergeCell ref="A9:I12"/>
    <mergeCell ref="A13:I16"/>
    <mergeCell ref="A18:C18"/>
    <mergeCell ref="E18:I18"/>
  </mergeCells>
  <hyperlinks>
    <hyperlink ref="A113" r:id="rId1" xr:uid="{0661CEF7-E6FC-4717-8FFB-3E40E713627A}"/>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3205-D07B-462E-A170-B2350A28E7A9}">
  <dimension ref="A1:C37"/>
  <sheetViews>
    <sheetView workbookViewId="0">
      <selection activeCell="C2" sqref="C2"/>
    </sheetView>
  </sheetViews>
  <sheetFormatPr defaultRowHeight="15" x14ac:dyDescent="0.2"/>
  <cols>
    <col min="1" max="1" width="11.43359375" customWidth="1"/>
    <col min="2" max="2" width="36.18359375" customWidth="1"/>
    <col min="3" max="3" width="25.55859375" customWidth="1"/>
    <col min="4" max="256" width="11.43359375" customWidth="1"/>
  </cols>
  <sheetData>
    <row r="1" spans="1:3" x14ac:dyDescent="0.2">
      <c r="A1" s="71" t="s">
        <v>167</v>
      </c>
      <c r="B1" s="71" t="s">
        <v>168</v>
      </c>
      <c r="C1" s="71" t="s">
        <v>169</v>
      </c>
    </row>
    <row r="2" spans="1:3" x14ac:dyDescent="0.2">
      <c r="A2" s="19">
        <v>1</v>
      </c>
      <c r="B2" s="19" t="s">
        <v>172</v>
      </c>
      <c r="C2" s="73" t="s">
        <v>23</v>
      </c>
    </row>
    <row r="3" spans="1:3" x14ac:dyDescent="0.2">
      <c r="A3" s="19">
        <v>2</v>
      </c>
      <c r="B3" s="19"/>
      <c r="C3" s="19"/>
    </row>
    <row r="4" spans="1:3" x14ac:dyDescent="0.2">
      <c r="A4" s="19">
        <v>3</v>
      </c>
      <c r="B4" s="19"/>
      <c r="C4" s="19"/>
    </row>
    <row r="5" spans="1:3" x14ac:dyDescent="0.2">
      <c r="A5" s="19">
        <v>4</v>
      </c>
      <c r="B5" s="19"/>
      <c r="C5" s="19"/>
    </row>
    <row r="6" spans="1:3" x14ac:dyDescent="0.2">
      <c r="A6" s="19">
        <v>5</v>
      </c>
      <c r="B6" s="19"/>
      <c r="C6" s="19"/>
    </row>
    <row r="7" spans="1:3" x14ac:dyDescent="0.2">
      <c r="A7" s="19">
        <v>6</v>
      </c>
      <c r="B7" s="19"/>
      <c r="C7" s="19"/>
    </row>
    <row r="8" spans="1:3" x14ac:dyDescent="0.2">
      <c r="A8" s="19">
        <v>7</v>
      </c>
      <c r="B8" s="19"/>
      <c r="C8" s="19"/>
    </row>
    <row r="9" spans="1:3" x14ac:dyDescent="0.2">
      <c r="A9" s="19">
        <v>8</v>
      </c>
      <c r="B9" s="19"/>
      <c r="C9" s="19"/>
    </row>
    <row r="10" spans="1:3" x14ac:dyDescent="0.2">
      <c r="A10" s="19">
        <v>9</v>
      </c>
      <c r="B10" s="19"/>
      <c r="C10" s="19"/>
    </row>
    <row r="11" spans="1:3" x14ac:dyDescent="0.2">
      <c r="A11" s="19">
        <v>10</v>
      </c>
      <c r="B11" s="19"/>
      <c r="C11" s="19"/>
    </row>
    <row r="12" spans="1:3" x14ac:dyDescent="0.2">
      <c r="A12" s="19">
        <v>11</v>
      </c>
      <c r="B12" s="19"/>
      <c r="C12" s="19"/>
    </row>
    <row r="13" spans="1:3" x14ac:dyDescent="0.2">
      <c r="A13" s="19">
        <v>12</v>
      </c>
      <c r="B13" s="19"/>
      <c r="C13" s="19"/>
    </row>
    <row r="14" spans="1:3" x14ac:dyDescent="0.2">
      <c r="A14" s="19">
        <v>13</v>
      </c>
      <c r="B14" s="19"/>
      <c r="C14" s="19"/>
    </row>
    <row r="15" spans="1:3" x14ac:dyDescent="0.2">
      <c r="A15" s="19">
        <v>14</v>
      </c>
      <c r="B15" s="19"/>
      <c r="C15" s="19"/>
    </row>
    <row r="16" spans="1:3" x14ac:dyDescent="0.2">
      <c r="A16" s="19">
        <v>15</v>
      </c>
      <c r="B16" s="19"/>
      <c r="C16" s="19"/>
    </row>
    <row r="17" spans="1:3" x14ac:dyDescent="0.2">
      <c r="A17" s="19">
        <v>16</v>
      </c>
      <c r="B17" s="19"/>
      <c r="C17" s="19"/>
    </row>
    <row r="18" spans="1:3" x14ac:dyDescent="0.2">
      <c r="A18" s="19">
        <v>17</v>
      </c>
      <c r="B18" s="19"/>
      <c r="C18" s="19"/>
    </row>
    <row r="19" spans="1:3" x14ac:dyDescent="0.2">
      <c r="A19" s="19">
        <v>18</v>
      </c>
      <c r="B19" s="19"/>
      <c r="C19" s="19"/>
    </row>
    <row r="20" spans="1:3" x14ac:dyDescent="0.2">
      <c r="A20" s="19">
        <v>19</v>
      </c>
      <c r="B20" s="19"/>
      <c r="C20" s="19"/>
    </row>
    <row r="21" spans="1:3" x14ac:dyDescent="0.2">
      <c r="A21" s="19">
        <v>20</v>
      </c>
      <c r="B21" s="19"/>
      <c r="C21" s="19"/>
    </row>
    <row r="22" spans="1:3" x14ac:dyDescent="0.2">
      <c r="A22" s="19">
        <v>21</v>
      </c>
      <c r="B22" s="19"/>
      <c r="C22" s="19"/>
    </row>
    <row r="23" spans="1:3" x14ac:dyDescent="0.2">
      <c r="A23" s="19">
        <v>22</v>
      </c>
      <c r="B23" s="19"/>
      <c r="C23" s="19"/>
    </row>
    <row r="24" spans="1:3" x14ac:dyDescent="0.2">
      <c r="A24" s="19">
        <v>23</v>
      </c>
      <c r="B24" s="19"/>
      <c r="C24" s="19"/>
    </row>
    <row r="25" spans="1:3" x14ac:dyDescent="0.2">
      <c r="A25" s="19">
        <v>24</v>
      </c>
      <c r="B25" s="19"/>
      <c r="C25" s="19"/>
    </row>
    <row r="26" spans="1:3" x14ac:dyDescent="0.2">
      <c r="A26" s="19">
        <v>25</v>
      </c>
      <c r="B26" s="19"/>
      <c r="C26" s="19"/>
    </row>
    <row r="27" spans="1:3" x14ac:dyDescent="0.2">
      <c r="A27" s="19">
        <v>26</v>
      </c>
      <c r="B27" s="19"/>
      <c r="C27" s="19"/>
    </row>
    <row r="28" spans="1:3" x14ac:dyDescent="0.2">
      <c r="A28" s="19">
        <v>27</v>
      </c>
      <c r="B28" s="19"/>
      <c r="C28" s="19"/>
    </row>
    <row r="29" spans="1:3" x14ac:dyDescent="0.2">
      <c r="A29" s="19">
        <v>28</v>
      </c>
      <c r="B29" s="19"/>
      <c r="C29" s="19"/>
    </row>
    <row r="30" spans="1:3" x14ac:dyDescent="0.2">
      <c r="A30" s="19">
        <v>29</v>
      </c>
      <c r="B30" s="19"/>
      <c r="C30" s="19"/>
    </row>
    <row r="31" spans="1:3" x14ac:dyDescent="0.2">
      <c r="A31" s="19">
        <v>30</v>
      </c>
      <c r="B31" s="19"/>
      <c r="C31" s="19"/>
    </row>
    <row r="32" spans="1:3" x14ac:dyDescent="0.2">
      <c r="A32" s="19">
        <v>31</v>
      </c>
      <c r="B32" s="19"/>
      <c r="C32" s="19"/>
    </row>
    <row r="33" spans="1:3" x14ac:dyDescent="0.2">
      <c r="A33" s="19">
        <v>32</v>
      </c>
      <c r="B33" s="19"/>
      <c r="C33" s="19"/>
    </row>
    <row r="34" spans="1:3" x14ac:dyDescent="0.2">
      <c r="A34" s="19">
        <v>33</v>
      </c>
      <c r="B34" s="19"/>
      <c r="C34" s="19"/>
    </row>
    <row r="35" spans="1:3" x14ac:dyDescent="0.2">
      <c r="A35" s="19">
        <v>34</v>
      </c>
      <c r="B35" s="19"/>
      <c r="C35" s="19"/>
    </row>
    <row r="36" spans="1:3" x14ac:dyDescent="0.2">
      <c r="A36" s="19">
        <v>35</v>
      </c>
      <c r="B36" s="19"/>
      <c r="C36" s="19"/>
    </row>
    <row r="37" spans="1:3" x14ac:dyDescent="0.2">
      <c r="A37" s="19">
        <v>36</v>
      </c>
      <c r="B37" s="19"/>
      <c r="C37"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InstumentoEvaluación</vt:lpstr>
      <vt:lpstr>DescripciónEstilos</vt: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HENAO</dc:creator>
  <cp:lastModifiedBy>X</cp:lastModifiedBy>
  <dcterms:created xsi:type="dcterms:W3CDTF">2009-03-31T03:21:37Z</dcterms:created>
  <dcterms:modified xsi:type="dcterms:W3CDTF">2026-02-14T02:50:45Z</dcterms:modified>
</cp:coreProperties>
</file>